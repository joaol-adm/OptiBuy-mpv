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ddff5975960f05/Dcts_BK_compartilhado/BI_Arquivos_compartilhado/c_Sistema_BKQBF/BK_Compra_Perfeita/CPerfect_Files_GitHub/"/>
    </mc:Choice>
  </mc:AlternateContent>
  <xr:revisionPtr revIDLastSave="8" documentId="8_{AC2B3CF5-1FCC-4681-9DE1-AA91DC589256}" xr6:coauthVersionLast="47" xr6:coauthVersionMax="47" xr10:uidLastSave="{CA063F6F-26F1-450F-8C58-FCA78F21226E}"/>
  <bookViews>
    <workbookView xWindow="-120" yWindow="-120" windowWidth="20730" windowHeight="11040" xr2:uid="{53633E7E-D6F2-4DB1-8EFC-B5ACF3C598DF}"/>
  </bookViews>
  <sheets>
    <sheet name="Estoque" sheetId="1" r:id="rId1"/>
  </sheets>
  <externalReferences>
    <externalReference r:id="rId2"/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2" i="1"/>
  <c r="L124" i="1" l="1"/>
  <c r="L166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6" i="1"/>
  <c r="L37" i="1"/>
  <c r="L38" i="1"/>
  <c r="L39" i="1"/>
  <c r="L40" i="1"/>
  <c r="L41" i="1"/>
  <c r="L42" i="1"/>
  <c r="L43" i="1"/>
  <c r="L44" i="1"/>
  <c r="L45" i="1"/>
  <c r="L46" i="1"/>
  <c r="L47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2" i="1"/>
  <c r="L123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8" i="1"/>
  <c r="L169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2" i="1"/>
  <c r="J6" i="1"/>
  <c r="J5" i="1"/>
  <c r="J4" i="1"/>
  <c r="J3" i="1"/>
  <c r="J2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2" i="1"/>
</calcChain>
</file>

<file path=xl/sharedStrings.xml><?xml version="1.0" encoding="utf-8"?>
<sst xmlns="http://schemas.openxmlformats.org/spreadsheetml/2006/main" count="207" uniqueCount="205">
  <si>
    <t>DESCRIÇÃO</t>
  </si>
  <si>
    <t>ÁGUA GASEIFICADA H20 - 12UN</t>
  </si>
  <si>
    <t>ÁGUA MINERAL - 48UN</t>
  </si>
  <si>
    <t>ALFACE AMERICANA - 12KG</t>
  </si>
  <si>
    <t>AMENDOIM TORRADO - 1KG</t>
  </si>
  <si>
    <t>BACON EM CUBOS - 2KG</t>
  </si>
  <si>
    <t>BACON PRONTO - 1328UN</t>
  </si>
  <si>
    <t>BALA BANANAS - 3KG</t>
  </si>
  <si>
    <t>BALA DENTADURAS - 3KG</t>
  </si>
  <si>
    <t>BALDE DE PAPEL - 500UN</t>
  </si>
  <si>
    <t>BATATA MAXI CHIPS - 10KG</t>
  </si>
  <si>
    <t>BATATA ROUND 6 -  9KG</t>
  </si>
  <si>
    <t>BATATA CONGELADA - 12,5K</t>
  </si>
  <si>
    <t>BEBIDA LACTEA DOCE DE LEITE - 22KG</t>
  </si>
  <si>
    <t>BEBIDA LACTEA BAUNILHA - 22KG</t>
  </si>
  <si>
    <t>BK CHICKEN - 588UN</t>
  </si>
  <si>
    <t>BOMBOM PRESTIGIO - 180UN</t>
  </si>
  <si>
    <t>BISCOITO DE BAUNILHA GRANULADO - 6KG</t>
  </si>
  <si>
    <t>BRINDE MASTER - 200UN</t>
  </si>
  <si>
    <t>BRINDE COPO ARCANE - 45UN</t>
  </si>
  <si>
    <t>BROWNIE BRIGADEIRO - 24UN</t>
  </si>
  <si>
    <t>BROWNIE PICADO - 4KG</t>
  </si>
  <si>
    <t>CAIXA THE KINGS - 375UN</t>
  </si>
  <si>
    <t>CALDA DE LIMÃO - 12KG</t>
  </si>
  <si>
    <t>CALDA LEITE MOÇA - 15KG</t>
  </si>
  <si>
    <t>CALDA DE PISTACHE - 8KG</t>
  </si>
  <si>
    <t>CALDA MORANGO - 7,5KG</t>
  </si>
  <si>
    <t>CALDA OVOMALTINE - 16KG</t>
  </si>
  <si>
    <t>CANUDO PAPEL MILKSHAKE - 1000UN</t>
  </si>
  <si>
    <t>CANUDO PAPEL REFRIGERANTE - 3000UN</t>
  </si>
  <si>
    <t>CARNE CONG MOIDA WHOPPER - 152UN</t>
  </si>
  <si>
    <t>CARNE ESPECIAL GOURMET - 156UN</t>
  </si>
  <si>
    <t>CARNE MOIDA CONGELADA 2.0 - 333UN</t>
  </si>
  <si>
    <t>CARTONAGEM BATATA GRANDE - 1600UN</t>
  </si>
  <si>
    <t>CARTONAGEM BATATA MEDIA - 1600UN</t>
  </si>
  <si>
    <t>CARTONAGEM FRITOS DELIVERY - 500UN</t>
  </si>
  <si>
    <t>CARTONAGEM BATATA M DEADPOOL - 1600UN</t>
  </si>
  <si>
    <t>CARTONAGEM CHICKEN FRIES - 300UN</t>
  </si>
  <si>
    <t>CASQUINHA SORVETE - 300UN</t>
  </si>
  <si>
    <t>CEBOLA BRANCA ESTADO NATURAL - 6KG</t>
  </si>
  <si>
    <t>CEBOLA FRITA CRISPY - 5KG</t>
  </si>
  <si>
    <t>CHA LIPTON LIMAO - 12UN</t>
  </si>
  <si>
    <t>CHA LIPTON PESSEGO - 12UN</t>
  </si>
  <si>
    <t>CHICKEN JR - 152UN</t>
  </si>
  <si>
    <t>CHICKEN FRIES - 680UN</t>
  </si>
  <si>
    <t>CINTA SLEEVE JURASSIC - 300UN</t>
  </si>
  <si>
    <t>CINTA SLEEVE ROUND 6 - 300UN</t>
  </si>
  <si>
    <t>COBERTURA CHOCOLATE - 9,45KG</t>
  </si>
  <si>
    <t>COLHER SORVETE - 1000UN</t>
  </si>
  <si>
    <t>CONFEITO SABOR CHOCOLATE - 6KG</t>
  </si>
  <si>
    <t>COPO CORTESIA - 2500UN</t>
  </si>
  <si>
    <t>COPO MIX INSTITUCIONAL 290ML - 320UN</t>
  </si>
  <si>
    <t>COPO MIX OVOMALTINE 290ML - 320UN</t>
  </si>
  <si>
    <t>COPO PAPEL 550 ML - 1200UN</t>
  </si>
  <si>
    <t>COPO REFRIGERANTE 440ML - 900UN</t>
  </si>
  <si>
    <t>COPO SHAKE 440ML - 900UN</t>
  </si>
  <si>
    <t>COPO SUNDAE - 1000UN</t>
  </si>
  <si>
    <t>COROA MASTER - 500UN</t>
  </si>
  <si>
    <t>COSTELA DESFIADA - 7,2KG</t>
  </si>
  <si>
    <t>DOCE DE LEITE BISNAGA - 6KG</t>
  </si>
  <si>
    <t>FAROFA DE BACON - 10KG</t>
  </si>
  <si>
    <t>FAROFA DE COOKIES - 9KG</t>
  </si>
  <si>
    <t>FUNDO BANDEJA MASTER - 2000UN</t>
  </si>
  <si>
    <t>FUNDO BATATA SUP MEDIA - 600UN</t>
  </si>
  <si>
    <t>FUNDO DE BATATA SUP GRANDE - 350UN</t>
  </si>
  <si>
    <t>GARFO SOBREMESA - 1000UN</t>
  </si>
  <si>
    <t>GOTAS OREO - 5KG</t>
  </si>
  <si>
    <t>GUARANA ANTARCTICA DIET BAG - 18L</t>
  </si>
  <si>
    <t>GUARANA ANTARCTICA BAG - 18L</t>
  </si>
  <si>
    <t>GUARANA ANTARCTICA DIET LATA - 12UN</t>
  </si>
  <si>
    <t>GUARANA ANTARCTICA LATA - 12UN</t>
  </si>
  <si>
    <t>GUARDANAPO EMBALADO - 2400UN</t>
  </si>
  <si>
    <t>GUARDANAPO INTERFOLHADO - 5400UN</t>
  </si>
  <si>
    <t>GUARDANAPO SORVETE - 5000UN</t>
  </si>
  <si>
    <t>HAMBURGUER BASE DE VEGETAIS 2.0 - 122UN</t>
  </si>
  <si>
    <t>IOGURTE GREGO MORANGO BAUNILHA - 24UN</t>
  </si>
  <si>
    <t>KETCHUP A GRANEL HEINZ - 16KG</t>
  </si>
  <si>
    <t>KIT GARFO E FACA - 400UN</t>
  </si>
  <si>
    <t>LACRE DE SEGURANCA - 1UN</t>
  </si>
  <si>
    <t>LAMINA BARBIE - 500UN</t>
  </si>
  <si>
    <t>LAMINA BIG KING - 3000UN</t>
  </si>
  <si>
    <t>LAMINA CHICKEN WHOPPER - 3000UN</t>
  </si>
  <si>
    <t>LAMINA KING OFERTAS - 3000UN</t>
  </si>
  <si>
    <t>LAMINA WHOPPER DEADPOOL - 3000UN</t>
  </si>
  <si>
    <t>LAMINA REBEL WHOPPER - 3000UN</t>
  </si>
  <si>
    <t>LAMINA STACKER - 3000UN</t>
  </si>
  <si>
    <t>LAMINA WHOPPER - 3000UN</t>
  </si>
  <si>
    <t>LAMINA WHOPPER JR - 3000UN</t>
  </si>
  <si>
    <t>LIPTON PESSEGO BAG - 18,9L</t>
  </si>
  <si>
    <t>LEITE EM PÓ NINHO - 6,9KG</t>
  </si>
  <si>
    <t>MAIONESE GRANEL - 18KG</t>
  </si>
  <si>
    <t>MAIONESE SABOR BACON GRANEL - 5,5KG</t>
  </si>
  <si>
    <t>MAIONESE VERDE - 5,5KG</t>
  </si>
  <si>
    <t>MAIONESE VERDE SACHET - 304UN</t>
  </si>
  <si>
    <t>MAIONESE DE ALHO - 5,5KG</t>
  </si>
  <si>
    <t>MAIONESE DE ALHO BLISTER - 144UN</t>
  </si>
  <si>
    <t>MISTURA MILK SHAKE BAUNILHA - 13,16KG</t>
  </si>
  <si>
    <t>MOLHO BARBECUE - 5,5KG</t>
  </si>
  <si>
    <t>MOLHO BARBECUE BLISTER - 144UN</t>
  </si>
  <si>
    <t>MOLHO FURIOSO BLISTER - 144UN</t>
  </si>
  <si>
    <t>MOLHO CEBOLA ROXA 6,3KG</t>
  </si>
  <si>
    <t>MOLHO FURIOSO - 5,5KG</t>
  </si>
  <si>
    <t>MOLHO SABOR DEFUMADO - 5,5KG</t>
  </si>
  <si>
    <t>MOLHO SABOR QUEIJO CHEDDAR - 16KG</t>
  </si>
  <si>
    <t>MOLHO TERIYAKI - 5,5KG</t>
  </si>
  <si>
    <t>MOLHO STACKER - 5,5KG</t>
  </si>
  <si>
    <t>MOSTARDA HEINZ - 16KG</t>
  </si>
  <si>
    <t>MOSTARDA HEINZ SACHE - 2304UN</t>
  </si>
  <si>
    <t>NACHOS DEADPOOL - 6KG</t>
  </si>
  <si>
    <t>NUTELLA - 6KG</t>
  </si>
  <si>
    <t>OLEO ESPECIAL CUKIN - 18KG</t>
  </si>
  <si>
    <t>OLEO GIRASSOL - 14,5KG</t>
  </si>
  <si>
    <t>ONION RINGS - 11KG</t>
  </si>
  <si>
    <t>OVOMALTINE - 9KG</t>
  </si>
  <si>
    <t>PAO CONG  TESTE BK4 - 160UN</t>
  </si>
  <si>
    <t>PAO CONG HAMBURGUER - 270UN</t>
  </si>
  <si>
    <t>PAO CONG TESTE BK5 - 120UN</t>
  </si>
  <si>
    <t>PAO BRIOCHE - 192UN</t>
  </si>
  <si>
    <t>PAO SUPREMO - 180UN</t>
  </si>
  <si>
    <t>PAO WHOPPER - 120UN</t>
  </si>
  <si>
    <t>PAZINHA SORVETE - 3000UN</t>
  </si>
  <si>
    <t>PEPINO FATIADO - 4014UN</t>
  </si>
  <si>
    <t>PEPSI COLA BAG - 18L</t>
  </si>
  <si>
    <t>PEPSI TWIST BAG - 18L</t>
  </si>
  <si>
    <t>PEPSI ZERO BAG - 18L</t>
  </si>
  <si>
    <t>PEPSI COLA LATA - 12UN</t>
  </si>
  <si>
    <t>PEPSI ZERO LATA - 12UN</t>
  </si>
  <si>
    <t>PIMENTA JALAPENO - 19,2KG</t>
  </si>
  <si>
    <t>PRESTIGIO - 6,06KG</t>
  </si>
  <si>
    <t>PORTA COPOS P/ 2 COPOS - 370UN</t>
  </si>
  <si>
    <t>QUEIJO CHEDDAR - 1536UN</t>
  </si>
  <si>
    <t>REQUEIJAO CREMOSO - 4KG</t>
  </si>
  <si>
    <t>SACHET CATCHUP BK HEINZ - 1500UN</t>
  </si>
  <si>
    <t>SACHET DE AZEITE - 200UN</t>
  </si>
  <si>
    <t>SACHET MAIONESE - 600UN</t>
  </si>
  <si>
    <t>SACHET MAIONESE SABOR BACON - 304UN</t>
  </si>
  <si>
    <t>SACO BK CHICKEN - 1000UN</t>
  </si>
  <si>
    <t>SACO BK CHICKEN ROUND 6 - 500UN</t>
  </si>
  <si>
    <t>SACO DELIVERY - 100UN</t>
  </si>
  <si>
    <t>SACO DELIVERY SPIDER - 500UN</t>
  </si>
  <si>
    <t>SACO VIAGEM 12 LIBRAS - 1000UN</t>
  </si>
  <si>
    <t>SACO VIAGEM 6 LIBRAS - 1000UN</t>
  </si>
  <si>
    <t>SACOLA P/ VIAGEM - 500UN</t>
  </si>
  <si>
    <t>SAL - 10KG</t>
  </si>
  <si>
    <t>SAL REFINADO SACHE - 2500UN</t>
  </si>
  <si>
    <t>SAQUINHO DE BATATA - 6000UN</t>
  </si>
  <si>
    <t>SODA LIMONADA BAG - 18L</t>
  </si>
  <si>
    <t>SUKITA BAG - 18L</t>
  </si>
  <si>
    <t>SUCO DE MARACUJA - 12UN</t>
  </si>
  <si>
    <t>SUCO LARANJA - 12UN</t>
  </si>
  <si>
    <t>SUCO UVA - 12UN</t>
  </si>
  <si>
    <t>TAMPA BALDE BK 900ML - 1000UN</t>
  </si>
  <si>
    <t>TAMPA BATATA SUP GRANDE - 350UN</t>
  </si>
  <si>
    <t>TAMPA BATATA SUP MEDIA - 350UN</t>
  </si>
  <si>
    <t>TAMPA REFRIGERANTE - 1800UN</t>
  </si>
  <si>
    <t>TAMPA SHAKE 440 ML - 900UN</t>
  </si>
  <si>
    <t>TAMPA SUNDAE - 1200UN</t>
  </si>
  <si>
    <t>TENDER CRISPY FILE - 72UN</t>
  </si>
  <si>
    <t>TOMATE CARMEM ESTADO NATURAL - 7KG</t>
  </si>
  <si>
    <t>WAFFLE PRE ASSADO - 120UN</t>
  </si>
  <si>
    <t>AGUA GASEIFICADA H2OH LIMAO BK FD 12 X 500ML</t>
  </si>
  <si>
    <t>CARTONAGEM BATATA MEDIA NOVA BK CX 1600 UND</t>
  </si>
  <si>
    <t>BOBINA TERMICA 79X40 PALHA ATOCOTEPE BK C/ 30UN</t>
  </si>
  <si>
    <t>TENDER CRISPY FILE NOVO BK CX 4X2,5 KG</t>
  </si>
  <si>
    <t>PAO CONG BRIOCHE CLEAN LABEL BK CX C/270UN</t>
  </si>
  <si>
    <t>PAO BK 4 CONG CXG 14900G UNB</t>
  </si>
  <si>
    <t>QUEIJO CHEDDAR CLEAN BK DAN VIGOR CX 8X2,208 KG</t>
  </si>
  <si>
    <t>CARNE HB CONG BKC CX COM 18,7 KG</t>
  </si>
  <si>
    <t>CODSTK</t>
  </si>
  <si>
    <t>ESTOQUE</t>
  </si>
  <si>
    <t>var1semana</t>
  </si>
  <si>
    <t>ATU 17AGO</t>
  </si>
  <si>
    <t>ATU25AGO</t>
  </si>
  <si>
    <t>7210467</t>
  </si>
  <si>
    <t>COCA COLA LATA BALCAO BK</t>
  </si>
  <si>
    <t>7210468</t>
  </si>
  <si>
    <t>COCA COLA LATA DLV BK</t>
  </si>
  <si>
    <t>7210469</t>
  </si>
  <si>
    <t>COCA COLA ZERO LATA BALCAO BK</t>
  </si>
  <si>
    <t>7210471</t>
  </si>
  <si>
    <t>COCA COLA ZERO LATA DLV BK</t>
  </si>
  <si>
    <t>7210472</t>
  </si>
  <si>
    <t>FANTA LARANJA LATA BALCAO BK</t>
  </si>
  <si>
    <t>7210473</t>
  </si>
  <si>
    <t>FANTA LARANJA LATA DLV BK</t>
  </si>
  <si>
    <t>7210474</t>
  </si>
  <si>
    <t>GUARANA DIET LATA</t>
  </si>
  <si>
    <t>7210475</t>
  </si>
  <si>
    <t>GUARANA LATA BALCAO BK</t>
  </si>
  <si>
    <t>7210476</t>
  </si>
  <si>
    <t>GUARANA LATA DLV BK</t>
  </si>
  <si>
    <t>7210478</t>
  </si>
  <si>
    <t>GUARANA ZERO LATA BALCAO BK</t>
  </si>
  <si>
    <t>7210479</t>
  </si>
  <si>
    <t>GUARANA ZERO LATA DLV BK</t>
  </si>
  <si>
    <t>7210480</t>
  </si>
  <si>
    <t>REFRIGERANTE GUARANA LATA</t>
  </si>
  <si>
    <t>SPRITE LATA BALCAO BK</t>
  </si>
  <si>
    <t>SPRITE LATA DLV BK</t>
  </si>
  <si>
    <t>BISCOITO BISCOFF CX C 300UND</t>
  </si>
  <si>
    <t>CARNE FRALDINHA DESF DEFUMADA CX 4KG 4X1</t>
  </si>
  <si>
    <t>COOKIE GRANULADO BAUNI CL CX5X1KG</t>
  </si>
  <si>
    <t>CRUMBS BISCOFF CX C 6KG 8X750G</t>
  </si>
  <si>
    <t>ETIQUETA LACRE DE SEGURANCA DLV C/1000UN</t>
  </si>
  <si>
    <t>PROTEINA SORO DE LEITE CX 12X0,8KG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</si>
</sst>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0"/>
      <color theme="0"/>
      <name val="Times New Roman"/>
      <family val="1"/>
    </font>
    <font>
      <sz val="10"/>
      <color theme="1"/>
      <name val="Times New Roman"/>
      <family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2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164" fontId="2" fillId="0" borderId="1" xfId="0" applyNumberFormat="1" applyFont="1" applyBorder="1" applyAlignment="1" applyProtection="1">
      <alignment horizontal="center"/>
      <protection locked="0"/>
    </xf>
    <xf numFmtId="0" fontId="1" fillId="2" borderId="2" xfId="0" applyFont="1" applyFill="1" applyBorder="1"/>
    <xf numFmtId="0" fontId="1" fillId="2" borderId="2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164" fontId="2" fillId="3" borderId="1" xfId="0" applyNumberFormat="1" applyFont="1" applyFill="1" applyBorder="1" applyAlignment="1" applyProtection="1">
      <alignment horizontal="center"/>
      <protection locked="0"/>
    </xf>
    <xf numFmtId="16" fontId="0" fillId="0" borderId="0" xfId="0" applyNumberFormat="1"/>
    <xf numFmtId="164" fontId="0" fillId="0" borderId="0" xfId="0" applyNumberFormat="1"/>
  </cellXfs>
  <cellStyles count="2">
    <cellStyle name="Normal" xfId="0" builtinId="0"/>
    <cellStyle name="Vírgula 2 2" xfId="1" xr:uid="{01DEF522-9E0D-46E0-AC0C-EE4DD12AF6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cts_BK_online/BK_Contagem/BK_CONTAGEM_DIARIA_JUL25_17ago25.xlsx" TargetMode="External"/><Relationship Id="rId2" Type="http://schemas.openxmlformats.org/officeDocument/2006/relationships/externalLinkPath" Target="https://d.docs.live.net/e0ddff5975960f05/Dcts_BK_online/BK_Contagem/BK_CONTAGEM_DIARIA_JUL25_17ago25.xlsx" TargetMode="External"/><Relationship Id="rId1" Type="http://schemas.openxmlformats.org/officeDocument/2006/relationships/externalLinkPath" Target="/e0ddff5975960f05/Dcts_BK_online/BK_Contagem/BK_CONTAGEM_DIARIA_JUL25_17ago2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cts_BK_online/BK_Contagem/eSUPRI_2_Planilha_PEDIDO_data_2608_entrega2908_SUGESTAO.xlsx" TargetMode="External"/><Relationship Id="rId2" Type="http://schemas.openxmlformats.org/officeDocument/2006/relationships/externalLinkPath" Target="https://d.docs.live.net/e0ddff5975960f05/Dcts_BK_online/BK_Contagem/eSUPRI_2_Planilha_PEDIDO_data_2608_entrega2908_SUGESTAO.xlsx" TargetMode="External"/><Relationship Id="rId1" Type="http://schemas.openxmlformats.org/officeDocument/2006/relationships/externalLinkPath" Target="/e0ddff5975960f05/Dcts_BK_online/BK_Contagem/eSUPRI_2_Planilha_PEDIDO_data_2608_entrega2908_SUGESTAO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cts_BK_online/BK_Contagem/BK_CONTAGEM_DIARIA_JUL25_27set25.xlsx" TargetMode="External"/><Relationship Id="rId2" Type="http://schemas.openxmlformats.org/officeDocument/2006/relationships/externalLinkPath" Target="https://d.docs.live.net/e0ddff5975960f05/Dcts_BK_online/BK_Contagem/BK_CONTAGEM_DIARIA_JUL25_27set25.xlsx" TargetMode="External"/><Relationship Id="rId1" Type="http://schemas.openxmlformats.org/officeDocument/2006/relationships/externalLinkPath" Target="/e0ddff5975960f05/Dcts_BK_online/BK_Contagem/BK_CONTAGEM_DIARIA_JUL25_27set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TAGEM_DIARIA_JUL25"/>
    </sheetNames>
    <sheetDataSet>
      <sheetData sheetId="0">
        <row r="1">
          <cell r="B1" t="str">
            <v>Contagem DIARIA de Estoque  | BK Sorocaba Shopping | 26487</v>
          </cell>
        </row>
        <row r="4">
          <cell r="B4" t="str">
            <v>DATA:</v>
          </cell>
          <cell r="C4">
            <v>45886</v>
          </cell>
          <cell r="D4" t="str">
            <v>RESPONSÁVEL  DIU:</v>
          </cell>
          <cell r="J4" t="str">
            <v>RESPONSÁVEL  NOT:</v>
          </cell>
          <cell r="L4" t="str">
            <v>flavia</v>
          </cell>
        </row>
        <row r="5">
          <cell r="B5" t="str">
            <v>CÓD</v>
          </cell>
          <cell r="C5" t="str">
            <v>DESCRIÇÃO</v>
          </cell>
          <cell r="D5" t="str">
            <v>CONTAGEM  ABERTURA  (até 10h00)</v>
          </cell>
          <cell r="H5" t="str">
            <v>RECEBIMENTO</v>
          </cell>
          <cell r="J5" t="str">
            <v>CONTAGEM  FECHAMENTO  (após 22h00)</v>
          </cell>
        </row>
        <row r="6">
          <cell r="D6" t="str">
            <v>CAIXA</v>
          </cell>
          <cell r="E6" t="str">
            <v>PC ou FD</v>
          </cell>
          <cell r="F6" t="str">
            <v>KG ou UND</v>
          </cell>
          <cell r="G6" t="str">
            <v>TOTAL</v>
          </cell>
          <cell r="H6" t="str">
            <v>CAIXA</v>
          </cell>
          <cell r="I6" t="str">
            <v>TOTAL</v>
          </cell>
          <cell r="J6" t="str">
            <v>CAIXA</v>
          </cell>
          <cell r="K6" t="str">
            <v>PC ou FD</v>
          </cell>
          <cell r="L6" t="str">
            <v>KG ou UND</v>
          </cell>
          <cell r="M6" t="str">
            <v>TOTAL</v>
          </cell>
        </row>
        <row r="7">
          <cell r="B7">
            <v>21403</v>
          </cell>
          <cell r="C7" t="str">
            <v>CARNE CONG MOIDA WHOPPER - 152UN</v>
          </cell>
          <cell r="G7">
            <v>0</v>
          </cell>
          <cell r="I7">
            <v>0</v>
          </cell>
          <cell r="J7">
            <v>3</v>
          </cell>
          <cell r="M7">
            <v>456</v>
          </cell>
        </row>
        <row r="8">
          <cell r="B8">
            <v>35622</v>
          </cell>
          <cell r="C8" t="str">
            <v>CARNE HB MOIDA CONGELADA 2.0 - 333UN</v>
          </cell>
          <cell r="G8">
            <v>0</v>
          </cell>
          <cell r="I8">
            <v>0</v>
          </cell>
          <cell r="J8">
            <v>3</v>
          </cell>
          <cell r="L8">
            <v>62</v>
          </cell>
          <cell r="M8">
            <v>1061</v>
          </cell>
        </row>
        <row r="9">
          <cell r="B9">
            <v>38178</v>
          </cell>
          <cell r="C9" t="str">
            <v>HAMBURGUER BASE DE VEGETAIS 2.0 - 122UN</v>
          </cell>
          <cell r="G9">
            <v>0</v>
          </cell>
          <cell r="I9">
            <v>0</v>
          </cell>
          <cell r="M9">
            <v>0</v>
          </cell>
        </row>
        <row r="10">
          <cell r="B10">
            <v>34580</v>
          </cell>
          <cell r="C10" t="str">
            <v>BK CHICKEN - 588UN</v>
          </cell>
          <cell r="G10">
            <v>0</v>
          </cell>
          <cell r="I10">
            <v>0</v>
          </cell>
          <cell r="K10">
            <v>7</v>
          </cell>
          <cell r="L10">
            <v>17</v>
          </cell>
          <cell r="M10">
            <v>360</v>
          </cell>
        </row>
        <row r="11">
          <cell r="B11">
            <v>36204</v>
          </cell>
          <cell r="C11" t="str">
            <v>CHICKEN JR - 152UN</v>
          </cell>
          <cell r="G11">
            <v>0</v>
          </cell>
          <cell r="I11">
            <v>0</v>
          </cell>
          <cell r="J11">
            <v>1</v>
          </cell>
          <cell r="K11">
            <v>2</v>
          </cell>
          <cell r="L11">
            <v>14</v>
          </cell>
          <cell r="M11">
            <v>204</v>
          </cell>
        </row>
        <row r="12">
          <cell r="B12">
            <v>36206</v>
          </cell>
          <cell r="C12" t="str">
            <v>TENDER CRISPY FILE - 72UN</v>
          </cell>
          <cell r="G12">
            <v>0</v>
          </cell>
          <cell r="I12">
            <v>0</v>
          </cell>
          <cell r="K12">
            <v>2</v>
          </cell>
          <cell r="L12">
            <v>3</v>
          </cell>
          <cell r="M12">
            <v>39</v>
          </cell>
        </row>
        <row r="13">
          <cell r="B13">
            <v>35103</v>
          </cell>
          <cell r="C13" t="str">
            <v>PAO HB CONG HAMBURGUER - 270UN</v>
          </cell>
          <cell r="G13">
            <v>0</v>
          </cell>
          <cell r="I13">
            <v>0</v>
          </cell>
          <cell r="J13">
            <v>2</v>
          </cell>
          <cell r="K13">
            <v>21</v>
          </cell>
          <cell r="L13">
            <v>27</v>
          </cell>
          <cell r="M13">
            <v>1197</v>
          </cell>
        </row>
        <row r="14">
          <cell r="B14">
            <v>38585</v>
          </cell>
          <cell r="C14" t="str">
            <v>PAO BRIOCHE - 192UN</v>
          </cell>
          <cell r="G14">
            <v>0</v>
          </cell>
          <cell r="I14">
            <v>0</v>
          </cell>
          <cell r="K14">
            <v>4</v>
          </cell>
          <cell r="L14">
            <v>16</v>
          </cell>
          <cell r="M14">
            <v>80</v>
          </cell>
        </row>
        <row r="15">
          <cell r="B15">
            <v>36252</v>
          </cell>
          <cell r="C15" t="str">
            <v>PAO SUPREMO - 180UN</v>
          </cell>
          <cell r="G15">
            <v>0</v>
          </cell>
          <cell r="I15">
            <v>0</v>
          </cell>
          <cell r="J15">
            <v>1</v>
          </cell>
          <cell r="K15">
            <v>11</v>
          </cell>
          <cell r="M15">
            <v>345</v>
          </cell>
        </row>
        <row r="16">
          <cell r="B16">
            <v>34754</v>
          </cell>
          <cell r="C16" t="str">
            <v>PAO WHOPPER - 120UN</v>
          </cell>
          <cell r="G16">
            <v>0</v>
          </cell>
          <cell r="I16">
            <v>0</v>
          </cell>
          <cell r="J16">
            <v>1</v>
          </cell>
          <cell r="K16">
            <v>12</v>
          </cell>
          <cell r="L16">
            <v>15</v>
          </cell>
          <cell r="M16">
            <v>375</v>
          </cell>
        </row>
        <row r="17">
          <cell r="B17">
            <v>35619</v>
          </cell>
          <cell r="C17" t="str">
            <v>QUEIJO CHEDDAR - 1536UN</v>
          </cell>
          <cell r="G17">
            <v>0</v>
          </cell>
          <cell r="I17">
            <v>0</v>
          </cell>
          <cell r="J17">
            <v>1</v>
          </cell>
          <cell r="K17">
            <v>4</v>
          </cell>
          <cell r="M17">
            <v>2304</v>
          </cell>
        </row>
        <row r="18">
          <cell r="B18">
            <v>21055</v>
          </cell>
          <cell r="C18" t="str">
            <v>BATATA CONGELADA - 12,5K</v>
          </cell>
          <cell r="G18">
            <v>0</v>
          </cell>
          <cell r="I18">
            <v>0</v>
          </cell>
          <cell r="J18">
            <v>6</v>
          </cell>
          <cell r="K18">
            <v>4</v>
          </cell>
          <cell r="L18">
            <v>1.98</v>
          </cell>
          <cell r="M18">
            <v>86.98</v>
          </cell>
        </row>
        <row r="19">
          <cell r="B19">
            <v>34298</v>
          </cell>
          <cell r="C19" t="str">
            <v>BROWNIE BRIGADEIRO - 24UN</v>
          </cell>
          <cell r="G19">
            <v>0</v>
          </cell>
          <cell r="I19">
            <v>0</v>
          </cell>
          <cell r="J19">
            <v>1</v>
          </cell>
          <cell r="L19">
            <v>1</v>
          </cell>
          <cell r="M19">
            <v>25</v>
          </cell>
        </row>
        <row r="20">
          <cell r="B20">
            <v>39142</v>
          </cell>
          <cell r="C20" t="str">
            <v>LEITE EM PÓ NINHO - 6,9KG</v>
          </cell>
          <cell r="G20">
            <v>0</v>
          </cell>
          <cell r="I20">
            <v>0</v>
          </cell>
          <cell r="K20">
            <v>3</v>
          </cell>
          <cell r="M20">
            <v>1.7249999999999999</v>
          </cell>
        </row>
        <row r="21">
          <cell r="B21">
            <v>39679</v>
          </cell>
          <cell r="C21" t="str">
            <v>BRINDE BRINQUEDOS</v>
          </cell>
          <cell r="G21">
            <v>0</v>
          </cell>
          <cell r="I21">
            <v>0</v>
          </cell>
          <cell r="M21">
            <v>0</v>
          </cell>
        </row>
        <row r="22">
          <cell r="B22">
            <v>39060</v>
          </cell>
          <cell r="C22" t="str">
            <v xml:space="preserve">BRINDE COPO </v>
          </cell>
          <cell r="G22">
            <v>0</v>
          </cell>
          <cell r="I22">
            <v>0</v>
          </cell>
          <cell r="M22">
            <v>0</v>
          </cell>
        </row>
        <row r="23">
          <cell r="B23">
            <v>8791</v>
          </cell>
          <cell r="C23" t="str">
            <v>ÁGUA GASEIFICADA H20 - 12UN</v>
          </cell>
          <cell r="G23">
            <v>0</v>
          </cell>
          <cell r="I23">
            <v>0</v>
          </cell>
          <cell r="M23">
            <v>0</v>
          </cell>
        </row>
        <row r="24">
          <cell r="B24">
            <v>9085</v>
          </cell>
          <cell r="C24" t="str">
            <v>GUARANA ANTARCTICA DIET LATA - 12UN</v>
          </cell>
          <cell r="G24">
            <v>0</v>
          </cell>
          <cell r="I24">
            <v>0</v>
          </cell>
          <cell r="M24">
            <v>0</v>
          </cell>
        </row>
        <row r="25">
          <cell r="B25">
            <v>9084</v>
          </cell>
          <cell r="C25" t="str">
            <v>GUARANA ANTARCTICA LATA - 12UN</v>
          </cell>
          <cell r="G25">
            <v>0</v>
          </cell>
          <cell r="I25">
            <v>0</v>
          </cell>
          <cell r="M25">
            <v>0</v>
          </cell>
        </row>
        <row r="26">
          <cell r="B26">
            <v>9096</v>
          </cell>
          <cell r="C26" t="str">
            <v>PEPSI COLA LATA - 12UN</v>
          </cell>
          <cell r="G26">
            <v>0</v>
          </cell>
          <cell r="I26">
            <v>0</v>
          </cell>
          <cell r="M26">
            <v>0</v>
          </cell>
        </row>
        <row r="27">
          <cell r="B27">
            <v>9274</v>
          </cell>
          <cell r="C27" t="str">
            <v>PEPSI ZERO LATA - 12UN</v>
          </cell>
          <cell r="G27">
            <v>0</v>
          </cell>
          <cell r="I27">
            <v>0</v>
          </cell>
          <cell r="M27">
            <v>0</v>
          </cell>
        </row>
        <row r="28">
          <cell r="B28">
            <v>35047</v>
          </cell>
          <cell r="C28" t="str">
            <v>SUCO DE MARACUJA - 12UN</v>
          </cell>
          <cell r="G28">
            <v>0</v>
          </cell>
          <cell r="I28">
            <v>0</v>
          </cell>
          <cell r="M28">
            <v>0</v>
          </cell>
        </row>
        <row r="29">
          <cell r="B29">
            <v>35959</v>
          </cell>
          <cell r="C29" t="str">
            <v>SUCO LARANJA - 12UN</v>
          </cell>
          <cell r="G29">
            <v>0</v>
          </cell>
          <cell r="I29">
            <v>0</v>
          </cell>
          <cell r="M29">
            <v>0</v>
          </cell>
        </row>
        <row r="30">
          <cell r="B30">
            <v>35046</v>
          </cell>
          <cell r="C30" t="str">
            <v>SUCO UVA - 12UN</v>
          </cell>
          <cell r="G30">
            <v>0</v>
          </cell>
          <cell r="I30">
            <v>0</v>
          </cell>
          <cell r="M30">
            <v>0</v>
          </cell>
        </row>
        <row r="31">
          <cell r="B31">
            <v>10143</v>
          </cell>
          <cell r="C31" t="str">
            <v>CHA LIPTON LIMAO - 12UN</v>
          </cell>
          <cell r="G31">
            <v>0</v>
          </cell>
          <cell r="I31">
            <v>0</v>
          </cell>
          <cell r="M31">
            <v>0</v>
          </cell>
        </row>
        <row r="32">
          <cell r="B32">
            <v>10141</v>
          </cell>
          <cell r="C32" t="str">
            <v>CHA LIPTON PESSEGO - 12UN</v>
          </cell>
          <cell r="G32">
            <v>0</v>
          </cell>
          <cell r="I32">
            <v>0</v>
          </cell>
          <cell r="M3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lan_PEDIDO_out24"/>
      <sheetName val="ENTREGA_26ago"/>
      <sheetName val="CONTAGEM_DIARIA_JUL25"/>
    </sheetNames>
    <sheetDataSet>
      <sheetData sheetId="0"/>
      <sheetData sheetId="1"/>
      <sheetData sheetId="2">
        <row r="1">
          <cell r="B1" t="str">
            <v>Contagem DIARIA de Estoque  | BK Sorocaba Shopping | 26487</v>
          </cell>
        </row>
        <row r="4">
          <cell r="B4" t="str">
            <v>DATA:</v>
          </cell>
          <cell r="C4">
            <v>45894</v>
          </cell>
          <cell r="D4" t="str">
            <v>RESPONSÁVEL  DIU:</v>
          </cell>
          <cell r="J4" t="str">
            <v>RESPONSÁVEL  NOT:</v>
          </cell>
          <cell r="L4" t="str">
            <v>flavia</v>
          </cell>
        </row>
        <row r="5">
          <cell r="B5" t="str">
            <v>CÓD</v>
          </cell>
          <cell r="C5" t="str">
            <v>DESCRIÇÃO</v>
          </cell>
          <cell r="D5" t="str">
            <v>CONTAGEM  ABERTURA  (até 10h00)</v>
          </cell>
          <cell r="H5" t="str">
            <v>RECEBIMENTO</v>
          </cell>
          <cell r="J5" t="str">
            <v>CONTAGEM  FECHAMENTO  (após 22h00)</v>
          </cell>
        </row>
        <row r="6">
          <cell r="D6" t="str">
            <v>CAIXA</v>
          </cell>
          <cell r="E6" t="str">
            <v>PC ou FD</v>
          </cell>
          <cell r="F6" t="str">
            <v>KG ou UND</v>
          </cell>
          <cell r="G6" t="str">
            <v>TOTAL</v>
          </cell>
          <cell r="H6" t="str">
            <v>CAIXA</v>
          </cell>
          <cell r="I6" t="str">
            <v>TOTAL</v>
          </cell>
          <cell r="J6" t="str">
            <v>CAIXA</v>
          </cell>
          <cell r="K6" t="str">
            <v>PC ou FD</v>
          </cell>
          <cell r="L6" t="str">
            <v>KG ou UND</v>
          </cell>
          <cell r="M6" t="str">
            <v>TOTAL</v>
          </cell>
        </row>
        <row r="7">
          <cell r="B7">
            <v>21403</v>
          </cell>
          <cell r="C7" t="str">
            <v>CARNE CONG MOIDA WHOPPER - 152UN</v>
          </cell>
          <cell r="G7">
            <v>0</v>
          </cell>
          <cell r="I7">
            <v>0</v>
          </cell>
          <cell r="L7">
            <v>26</v>
          </cell>
          <cell r="M7">
            <v>26</v>
          </cell>
        </row>
        <row r="8">
          <cell r="B8">
            <v>36409</v>
          </cell>
          <cell r="C8" t="str">
            <v>CARNE HB MOIDA CONGELADA 2.0 - 333UN</v>
          </cell>
          <cell r="G8">
            <v>0</v>
          </cell>
          <cell r="I8">
            <v>0</v>
          </cell>
          <cell r="J8">
            <v>2</v>
          </cell>
          <cell r="L8">
            <v>159</v>
          </cell>
          <cell r="M8">
            <v>825</v>
          </cell>
        </row>
        <row r="9">
          <cell r="B9">
            <v>38178</v>
          </cell>
          <cell r="C9" t="str">
            <v>HAMBURGUER BASE DE VEGETAIS 2.0 - 122UN</v>
          </cell>
          <cell r="G9">
            <v>0</v>
          </cell>
          <cell r="I9">
            <v>0</v>
          </cell>
          <cell r="L9">
            <v>77</v>
          </cell>
          <cell r="M9">
            <v>77</v>
          </cell>
        </row>
        <row r="10">
          <cell r="B10">
            <v>34580</v>
          </cell>
          <cell r="C10" t="str">
            <v>BK CHICKEN - 588UN</v>
          </cell>
          <cell r="G10">
            <v>0</v>
          </cell>
          <cell r="I10">
            <v>0</v>
          </cell>
          <cell r="K10">
            <v>1</v>
          </cell>
          <cell r="L10">
            <v>22</v>
          </cell>
          <cell r="M10">
            <v>71</v>
          </cell>
        </row>
        <row r="11">
          <cell r="B11">
            <v>31777</v>
          </cell>
          <cell r="C11" t="str">
            <v>CHICKEN JR - 152UN</v>
          </cell>
          <cell r="G11">
            <v>0</v>
          </cell>
          <cell r="I11">
            <v>0</v>
          </cell>
          <cell r="L11">
            <v>12</v>
          </cell>
          <cell r="M11">
            <v>12</v>
          </cell>
        </row>
        <row r="12">
          <cell r="B12">
            <v>36206</v>
          </cell>
          <cell r="C12" t="str">
            <v>TENDER CRISPY FILE - 72UN</v>
          </cell>
          <cell r="G12">
            <v>0</v>
          </cell>
          <cell r="I12">
            <v>0</v>
          </cell>
          <cell r="K12">
            <v>1</v>
          </cell>
          <cell r="L12">
            <v>7</v>
          </cell>
          <cell r="M12">
            <v>25</v>
          </cell>
        </row>
        <row r="13">
          <cell r="B13">
            <v>34840</v>
          </cell>
          <cell r="C13" t="str">
            <v>PAO HB CONG HAMBURGUER - 270UN</v>
          </cell>
          <cell r="G13">
            <v>0</v>
          </cell>
          <cell r="I13">
            <v>0</v>
          </cell>
          <cell r="J13">
            <v>1</v>
          </cell>
          <cell r="K13">
            <v>9</v>
          </cell>
          <cell r="L13">
            <v>6</v>
          </cell>
          <cell r="M13">
            <v>546</v>
          </cell>
        </row>
        <row r="14">
          <cell r="B14">
            <v>38585</v>
          </cell>
          <cell r="C14" t="str">
            <v>PAO BRIOCHE - 192UN</v>
          </cell>
          <cell r="G14">
            <v>0</v>
          </cell>
          <cell r="I14">
            <v>0</v>
          </cell>
          <cell r="K14">
            <v>4</v>
          </cell>
          <cell r="L14">
            <v>19</v>
          </cell>
          <cell r="M14">
            <v>83</v>
          </cell>
        </row>
        <row r="15">
          <cell r="B15">
            <v>36252</v>
          </cell>
          <cell r="C15" t="str">
            <v>PAO SUPREMO - 180UN</v>
          </cell>
          <cell r="G15">
            <v>0</v>
          </cell>
          <cell r="I15">
            <v>0</v>
          </cell>
          <cell r="K15">
            <v>12</v>
          </cell>
          <cell r="L15">
            <v>14</v>
          </cell>
          <cell r="M15">
            <v>194</v>
          </cell>
        </row>
        <row r="16">
          <cell r="B16">
            <v>34754</v>
          </cell>
          <cell r="C16" t="str">
            <v>PAO WHOPPER - 120UN</v>
          </cell>
          <cell r="G16">
            <v>0</v>
          </cell>
          <cell r="I16">
            <v>0</v>
          </cell>
          <cell r="K16">
            <v>7</v>
          </cell>
          <cell r="L16">
            <v>19</v>
          </cell>
          <cell r="M16">
            <v>159</v>
          </cell>
        </row>
        <row r="17">
          <cell r="B17">
            <v>35610</v>
          </cell>
          <cell r="C17" t="str">
            <v>QUEIJO CHEDDAR - 1536UN</v>
          </cell>
          <cell r="G17">
            <v>0</v>
          </cell>
          <cell r="I17">
            <v>0</v>
          </cell>
          <cell r="J17">
            <v>1</v>
          </cell>
          <cell r="K17">
            <v>1</v>
          </cell>
          <cell r="L17">
            <v>96</v>
          </cell>
          <cell r="M17">
            <v>1824</v>
          </cell>
        </row>
        <row r="18">
          <cell r="B18">
            <v>21055</v>
          </cell>
          <cell r="C18" t="str">
            <v>BATATA CONGELADA - 12,5K</v>
          </cell>
          <cell r="G18">
            <v>0</v>
          </cell>
          <cell r="I18">
            <v>0</v>
          </cell>
          <cell r="J18">
            <v>2</v>
          </cell>
          <cell r="L18">
            <v>0.308</v>
          </cell>
          <cell r="M18">
            <v>25.308</v>
          </cell>
        </row>
        <row r="19">
          <cell r="B19">
            <v>34298</v>
          </cell>
          <cell r="C19" t="str">
            <v>BROWNIE BRIGADEIRO - 24UN</v>
          </cell>
          <cell r="G19">
            <v>0</v>
          </cell>
          <cell r="I19">
            <v>0</v>
          </cell>
          <cell r="L19">
            <v>17</v>
          </cell>
          <cell r="M19">
            <v>17</v>
          </cell>
        </row>
        <row r="20">
          <cell r="B20">
            <v>39142</v>
          </cell>
          <cell r="C20" t="str">
            <v>LEITE EM PÓ NINHO - 6,9KG</v>
          </cell>
          <cell r="G20">
            <v>0</v>
          </cell>
          <cell r="I20">
            <v>0</v>
          </cell>
          <cell r="K20">
            <v>3</v>
          </cell>
          <cell r="M20">
            <v>1.7249999999999999</v>
          </cell>
        </row>
        <row r="21">
          <cell r="B21">
            <v>39679</v>
          </cell>
          <cell r="C21" t="str">
            <v>BRINDE BRINQUEDOS</v>
          </cell>
          <cell r="G21">
            <v>0</v>
          </cell>
          <cell r="I21">
            <v>0</v>
          </cell>
          <cell r="L21">
            <v>0</v>
          </cell>
          <cell r="M21">
            <v>0</v>
          </cell>
        </row>
        <row r="22">
          <cell r="B22">
            <v>39060</v>
          </cell>
          <cell r="C22" t="str">
            <v xml:space="preserve">BRINDE COPO </v>
          </cell>
          <cell r="G22">
            <v>0</v>
          </cell>
          <cell r="I22">
            <v>0</v>
          </cell>
          <cell r="L22">
            <v>0</v>
          </cell>
          <cell r="M22">
            <v>0</v>
          </cell>
        </row>
        <row r="23">
          <cell r="B23">
            <v>8791</v>
          </cell>
          <cell r="C23" t="str">
            <v>ÁGUA GASEIFICADA H20 - 12UN</v>
          </cell>
          <cell r="G23">
            <v>0</v>
          </cell>
          <cell r="I23">
            <v>0</v>
          </cell>
          <cell r="L23">
            <v>0</v>
          </cell>
          <cell r="M23">
            <v>0</v>
          </cell>
        </row>
        <row r="24">
          <cell r="B24">
            <v>9085</v>
          </cell>
          <cell r="C24" t="str">
            <v>GUARANA ANTARCTICA DIET LATA - 12UN</v>
          </cell>
          <cell r="G24">
            <v>0</v>
          </cell>
          <cell r="I24">
            <v>0</v>
          </cell>
          <cell r="L24">
            <v>31</v>
          </cell>
          <cell r="M24">
            <v>31</v>
          </cell>
        </row>
        <row r="25">
          <cell r="B25">
            <v>9084</v>
          </cell>
          <cell r="C25" t="str">
            <v>GUARANA ANTARCTICA LATA - 12UN</v>
          </cell>
          <cell r="G25">
            <v>0</v>
          </cell>
          <cell r="I25">
            <v>0</v>
          </cell>
          <cell r="L25">
            <v>9</v>
          </cell>
          <cell r="M25">
            <v>9</v>
          </cell>
        </row>
        <row r="26">
          <cell r="B26">
            <v>9096</v>
          </cell>
          <cell r="C26" t="str">
            <v>PEPSI COLA LATA - 12UN</v>
          </cell>
          <cell r="G26">
            <v>0</v>
          </cell>
          <cell r="I26">
            <v>0</v>
          </cell>
          <cell r="L26">
            <v>53</v>
          </cell>
          <cell r="M26">
            <v>53</v>
          </cell>
        </row>
        <row r="27">
          <cell r="B27">
            <v>9274</v>
          </cell>
          <cell r="C27" t="str">
            <v>PEPSI ZERO LATA - 12UN</v>
          </cell>
          <cell r="G27">
            <v>0</v>
          </cell>
          <cell r="I27">
            <v>0</v>
          </cell>
          <cell r="L27">
            <v>18</v>
          </cell>
          <cell r="M27">
            <v>18</v>
          </cell>
        </row>
        <row r="28">
          <cell r="B28">
            <v>35047</v>
          </cell>
          <cell r="C28" t="str">
            <v>SUCO DE MARACUJA - 12UN</v>
          </cell>
          <cell r="G28">
            <v>0</v>
          </cell>
          <cell r="I28">
            <v>0</v>
          </cell>
          <cell r="L28">
            <v>33</v>
          </cell>
          <cell r="M28">
            <v>33</v>
          </cell>
        </row>
        <row r="29">
          <cell r="B29">
            <v>35959</v>
          </cell>
          <cell r="C29" t="str">
            <v>SUCO LARANJA - 12UN</v>
          </cell>
          <cell r="G29">
            <v>0</v>
          </cell>
          <cell r="I29">
            <v>0</v>
          </cell>
          <cell r="L29">
            <v>34</v>
          </cell>
          <cell r="M29">
            <v>34</v>
          </cell>
        </row>
        <row r="30">
          <cell r="B30">
            <v>35046</v>
          </cell>
          <cell r="C30" t="str">
            <v>SUCO UVA - 12UN</v>
          </cell>
          <cell r="G30">
            <v>0</v>
          </cell>
          <cell r="I30">
            <v>0</v>
          </cell>
          <cell r="L30">
            <v>3</v>
          </cell>
          <cell r="M30">
            <v>3</v>
          </cell>
        </row>
        <row r="31">
          <cell r="B31">
            <v>10143</v>
          </cell>
          <cell r="C31" t="str">
            <v>CHA LIPTON LIMAO - 12UN</v>
          </cell>
          <cell r="G31">
            <v>0</v>
          </cell>
          <cell r="I31">
            <v>0</v>
          </cell>
          <cell r="L31">
            <v>0</v>
          </cell>
          <cell r="M31">
            <v>0</v>
          </cell>
        </row>
        <row r="32">
          <cell r="B32">
            <v>10141</v>
          </cell>
          <cell r="C32" t="str">
            <v>CHA LIPTON PESSEGO - 12UN</v>
          </cell>
          <cell r="G32">
            <v>0</v>
          </cell>
          <cell r="I32">
            <v>0</v>
          </cell>
          <cell r="L32">
            <v>0</v>
          </cell>
          <cell r="M32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TAGEM_DIARIA_JUL25"/>
    </sheetNames>
    <sheetDataSet>
      <sheetData sheetId="0">
        <row r="1">
          <cell r="B1" t="str">
            <v>Contagem DIARIA de Estoque  | BK Sorocaba Shopping | 26487</v>
          </cell>
        </row>
        <row r="4">
          <cell r="B4" t="str">
            <v>DATA:</v>
          </cell>
          <cell r="C4">
            <v>45927</v>
          </cell>
          <cell r="D4" t="str">
            <v>RESPONSÁVEL  DIU:</v>
          </cell>
          <cell r="F4" t="str">
            <v>flavia</v>
          </cell>
          <cell r="J4" t="str">
            <v>RESPONSÁVEL  NOT:</v>
          </cell>
          <cell r="L4" t="str">
            <v>GUSTAVO</v>
          </cell>
        </row>
        <row r="5">
          <cell r="B5" t="str">
            <v>CÓD</v>
          </cell>
          <cell r="C5" t="str">
            <v>DESCRIÇÃO</v>
          </cell>
          <cell r="D5" t="str">
            <v>CONTAGEM  ABERTURA  (até 10h00)</v>
          </cell>
          <cell r="H5" t="str">
            <v>RECEBIMENTO</v>
          </cell>
          <cell r="J5" t="str">
            <v>CONTAGEM  FECHAMENTO  (após 22h00)</v>
          </cell>
        </row>
        <row r="6">
          <cell r="D6" t="str">
            <v>CAIXA</v>
          </cell>
          <cell r="E6" t="str">
            <v>PC ou FD</v>
          </cell>
          <cell r="F6" t="str">
            <v>KG ou UND</v>
          </cell>
          <cell r="G6" t="str">
            <v>TOTAL</v>
          </cell>
          <cell r="H6" t="str">
            <v>CAIXA</v>
          </cell>
          <cell r="I6" t="str">
            <v>TOTAL</v>
          </cell>
          <cell r="J6" t="str">
            <v>CAIXA</v>
          </cell>
          <cell r="K6" t="str">
            <v>PC ou FD</v>
          </cell>
          <cell r="L6" t="str">
            <v>KG ou UND</v>
          </cell>
          <cell r="M6" t="str">
            <v>TOTAL</v>
          </cell>
        </row>
        <row r="7">
          <cell r="B7">
            <v>21403</v>
          </cell>
          <cell r="C7" t="str">
            <v>CARNE CONG MOIDA WHOPPER - 152UN</v>
          </cell>
          <cell r="G7">
            <v>0</v>
          </cell>
          <cell r="I7">
            <v>0</v>
          </cell>
          <cell r="J7">
            <v>4</v>
          </cell>
          <cell r="L7">
            <v>73</v>
          </cell>
          <cell r="M7">
            <v>681</v>
          </cell>
        </row>
        <row r="8">
          <cell r="B8">
            <v>35622</v>
          </cell>
          <cell r="C8" t="str">
            <v>CARNE HB MOIDA CONGELADA 2.0 - 333UN</v>
          </cell>
          <cell r="G8">
            <v>0</v>
          </cell>
          <cell r="I8">
            <v>0</v>
          </cell>
          <cell r="J8">
            <v>2</v>
          </cell>
          <cell r="L8">
            <v>315</v>
          </cell>
          <cell r="M8">
            <v>981</v>
          </cell>
        </row>
        <row r="9">
          <cell r="B9">
            <v>38178</v>
          </cell>
          <cell r="C9" t="str">
            <v>HAMBURGUER BASE DE VEGETAIS 2.0 - 122UN</v>
          </cell>
          <cell r="G9">
            <v>0</v>
          </cell>
          <cell r="I9">
            <v>0</v>
          </cell>
          <cell r="L9">
            <v>118</v>
          </cell>
          <cell r="M9">
            <v>118</v>
          </cell>
        </row>
        <row r="10">
          <cell r="B10">
            <v>34580</v>
          </cell>
          <cell r="C10" t="str">
            <v>BK CHICKEN - 588UN</v>
          </cell>
          <cell r="G10">
            <v>0</v>
          </cell>
          <cell r="I10">
            <v>0</v>
          </cell>
          <cell r="L10">
            <v>48</v>
          </cell>
          <cell r="M10">
            <v>48</v>
          </cell>
        </row>
        <row r="11">
          <cell r="B11">
            <v>36204</v>
          </cell>
          <cell r="C11" t="str">
            <v>CHICKEN JR - 152UN</v>
          </cell>
          <cell r="G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B12">
            <v>36206</v>
          </cell>
          <cell r="C12" t="str">
            <v>TENDER CRISPY FILE - 72UN</v>
          </cell>
          <cell r="G12">
            <v>0</v>
          </cell>
          <cell r="I12">
            <v>0</v>
          </cell>
          <cell r="L12">
            <v>16</v>
          </cell>
          <cell r="M12">
            <v>16</v>
          </cell>
        </row>
        <row r="13">
          <cell r="B13">
            <v>35103</v>
          </cell>
          <cell r="C13" t="str">
            <v>PAO HB CONG HAMBURGUER - 270UN</v>
          </cell>
          <cell r="G13">
            <v>0</v>
          </cell>
          <cell r="I13">
            <v>0</v>
          </cell>
          <cell r="J13">
            <v>3</v>
          </cell>
          <cell r="K13">
            <v>4</v>
          </cell>
          <cell r="L13">
            <v>26</v>
          </cell>
          <cell r="M13">
            <v>956</v>
          </cell>
        </row>
        <row r="14">
          <cell r="B14">
            <v>38585</v>
          </cell>
          <cell r="C14" t="str">
            <v>PAO BRIOCHE - 192UN</v>
          </cell>
          <cell r="G14">
            <v>0</v>
          </cell>
          <cell r="I14">
            <v>0</v>
          </cell>
          <cell r="K14">
            <v>1</v>
          </cell>
          <cell r="L14">
            <v>19</v>
          </cell>
          <cell r="M14">
            <v>35</v>
          </cell>
        </row>
        <row r="15">
          <cell r="B15">
            <v>36252</v>
          </cell>
          <cell r="C15" t="str">
            <v>PAO SUPREMO - 180UN</v>
          </cell>
          <cell r="G15">
            <v>0</v>
          </cell>
          <cell r="I15">
            <v>0</v>
          </cell>
          <cell r="L15">
            <v>1</v>
          </cell>
          <cell r="M15">
            <v>1</v>
          </cell>
        </row>
        <row r="16">
          <cell r="B16">
            <v>34754</v>
          </cell>
          <cell r="C16" t="str">
            <v>PAO WHOPPER - 120UN</v>
          </cell>
          <cell r="G16">
            <v>0</v>
          </cell>
          <cell r="I16">
            <v>0</v>
          </cell>
          <cell r="J16">
            <v>3</v>
          </cell>
          <cell r="K16">
            <v>4</v>
          </cell>
          <cell r="L16">
            <v>16</v>
          </cell>
          <cell r="M16">
            <v>456</v>
          </cell>
        </row>
        <row r="17">
          <cell r="B17">
            <v>35619</v>
          </cell>
          <cell r="C17" t="str">
            <v>QUEIJO CHEDDAR - 1536UN</v>
          </cell>
          <cell r="G17">
            <v>0</v>
          </cell>
          <cell r="I17">
            <v>0</v>
          </cell>
          <cell r="J17">
            <v>2</v>
          </cell>
          <cell r="K17">
            <v>1</v>
          </cell>
          <cell r="L17">
            <v>190</v>
          </cell>
          <cell r="M17">
            <v>3454</v>
          </cell>
        </row>
        <row r="18">
          <cell r="B18">
            <v>21055</v>
          </cell>
          <cell r="C18" t="str">
            <v>BATATA CONGELADA - 12,5K</v>
          </cell>
          <cell r="G18">
            <v>0</v>
          </cell>
          <cell r="I18">
            <v>0</v>
          </cell>
          <cell r="J18">
            <v>9</v>
          </cell>
          <cell r="L18">
            <v>0.1</v>
          </cell>
          <cell r="M18">
            <v>112.6</v>
          </cell>
        </row>
        <row r="19">
          <cell r="B19">
            <v>34298</v>
          </cell>
          <cell r="C19" t="str">
            <v>BROWNIE BRIGADEIRO - 24UN</v>
          </cell>
          <cell r="G19">
            <v>0</v>
          </cell>
          <cell r="I19">
            <v>0</v>
          </cell>
          <cell r="L19">
            <v>21</v>
          </cell>
          <cell r="M19">
            <v>21</v>
          </cell>
        </row>
        <row r="20">
          <cell r="B20">
            <v>39142</v>
          </cell>
          <cell r="C20" t="str">
            <v>LEITE EM PÓ NINHO - 6,9KG</v>
          </cell>
          <cell r="G20">
            <v>0</v>
          </cell>
          <cell r="I20">
            <v>0</v>
          </cell>
          <cell r="K20">
            <v>2</v>
          </cell>
          <cell r="M20">
            <v>1.1499999999999999</v>
          </cell>
        </row>
        <row r="21">
          <cell r="B21">
            <v>39679</v>
          </cell>
          <cell r="C21" t="str">
            <v>BRINDE BRINQUEDOS</v>
          </cell>
          <cell r="G21">
            <v>0</v>
          </cell>
          <cell r="I21">
            <v>0</v>
          </cell>
          <cell r="M21">
            <v>0</v>
          </cell>
        </row>
        <row r="22">
          <cell r="B22">
            <v>39060</v>
          </cell>
          <cell r="C22" t="str">
            <v xml:space="preserve">BRINDE COPO </v>
          </cell>
          <cell r="G22">
            <v>0</v>
          </cell>
          <cell r="I22">
            <v>0</v>
          </cell>
          <cell r="M22">
            <v>0</v>
          </cell>
        </row>
        <row r="23">
          <cell r="B23">
            <v>8791</v>
          </cell>
          <cell r="C23" t="str">
            <v>ÁGUA GASEIFICADA H20 - 12UN</v>
          </cell>
          <cell r="G23">
            <v>0</v>
          </cell>
          <cell r="I23">
            <v>0</v>
          </cell>
          <cell r="L23">
            <v>8</v>
          </cell>
          <cell r="M23">
            <v>8</v>
          </cell>
        </row>
        <row r="24">
          <cell r="B24">
            <v>9085</v>
          </cell>
          <cell r="C24" t="str">
            <v>GUARANA ANTARCTICA DIET LATA - 12UN</v>
          </cell>
          <cell r="G24">
            <v>0</v>
          </cell>
          <cell r="I24">
            <v>0</v>
          </cell>
          <cell r="J24">
            <v>1</v>
          </cell>
          <cell r="M24">
            <v>12</v>
          </cell>
        </row>
        <row r="25">
          <cell r="B25">
            <v>9084</v>
          </cell>
          <cell r="C25" t="str">
            <v>GUARANA ANTARCTICA LATA - 12UN</v>
          </cell>
          <cell r="G25">
            <v>0</v>
          </cell>
          <cell r="I25">
            <v>0</v>
          </cell>
          <cell r="J25">
            <v>2</v>
          </cell>
          <cell r="L25">
            <v>4</v>
          </cell>
          <cell r="M25">
            <v>28</v>
          </cell>
        </row>
        <row r="26">
          <cell r="B26">
            <v>9096</v>
          </cell>
          <cell r="C26" t="str">
            <v>PEPSI COLA LATA - 12UN</v>
          </cell>
          <cell r="G26">
            <v>0</v>
          </cell>
          <cell r="I26">
            <v>0</v>
          </cell>
          <cell r="J26">
            <v>4</v>
          </cell>
          <cell r="L26">
            <v>2</v>
          </cell>
          <cell r="M26">
            <v>50</v>
          </cell>
        </row>
        <row r="27">
          <cell r="B27">
            <v>9274</v>
          </cell>
          <cell r="C27" t="str">
            <v>PEPSI ZERO LATA - 12UN</v>
          </cell>
          <cell r="G27">
            <v>0</v>
          </cell>
          <cell r="I27">
            <v>0</v>
          </cell>
          <cell r="L27">
            <v>6</v>
          </cell>
          <cell r="M27">
            <v>6</v>
          </cell>
        </row>
        <row r="28">
          <cell r="B28">
            <v>35047</v>
          </cell>
          <cell r="C28" t="str">
            <v>SUCO DE MARACUJA - 12UN</v>
          </cell>
          <cell r="G28">
            <v>0</v>
          </cell>
          <cell r="I28">
            <v>0</v>
          </cell>
          <cell r="L28">
            <v>18</v>
          </cell>
          <cell r="M28">
            <v>18</v>
          </cell>
        </row>
        <row r="29">
          <cell r="B29">
            <v>35959</v>
          </cell>
          <cell r="C29" t="str">
            <v>SUCO LARANJA - 12UN</v>
          </cell>
          <cell r="G29">
            <v>0</v>
          </cell>
          <cell r="I29">
            <v>0</v>
          </cell>
          <cell r="L29">
            <v>17</v>
          </cell>
          <cell r="M29">
            <v>17</v>
          </cell>
        </row>
        <row r="30">
          <cell r="B30">
            <v>35046</v>
          </cell>
          <cell r="C30" t="str">
            <v>SUCO UVA - 12UN</v>
          </cell>
          <cell r="G30">
            <v>0</v>
          </cell>
          <cell r="I30">
            <v>0</v>
          </cell>
          <cell r="J30">
            <v>2</v>
          </cell>
          <cell r="L30">
            <v>6</v>
          </cell>
          <cell r="M30">
            <v>30</v>
          </cell>
        </row>
        <row r="31">
          <cell r="B31">
            <v>10143</v>
          </cell>
          <cell r="C31" t="str">
            <v>CHA LIPTON LIMAO - 12UN</v>
          </cell>
          <cell r="G31">
            <v>0</v>
          </cell>
          <cell r="I31">
            <v>0</v>
          </cell>
          <cell r="L31">
            <v>0</v>
          </cell>
          <cell r="M31">
            <v>0</v>
          </cell>
        </row>
        <row r="32">
          <cell r="B32">
            <v>10141</v>
          </cell>
          <cell r="C32" t="str">
            <v>CHA LIPTON PESSEGO - 12UN</v>
          </cell>
          <cell r="G32">
            <v>0</v>
          </cell>
          <cell r="I32">
            <v>0</v>
          </cell>
          <cell r="L32">
            <v>0</v>
          </cell>
          <cell r="M32">
            <v>0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5583B-E240-453F-9C06-A311E2614116}">
  <dimension ref="A1:M190"/>
  <sheetViews>
    <sheetView tabSelected="1" topLeftCell="A166" workbookViewId="0">
      <selection activeCell="B175" sqref="B175"/>
    </sheetView>
  </sheetViews>
  <sheetFormatPr defaultRowHeight="15" x14ac:dyDescent="0.25"/>
  <cols>
    <col min="2" max="2" width="38.5703125" customWidth="1"/>
    <col min="3" max="3" width="10.5703125" customWidth="1"/>
    <col min="6" max="6" width="10.5703125" customWidth="1"/>
  </cols>
  <sheetData>
    <row r="1" spans="1:13" x14ac:dyDescent="0.25">
      <c r="A1" s="5" t="s">
        <v>168</v>
      </c>
      <c r="B1" s="6" t="s">
        <v>0</v>
      </c>
      <c r="C1" s="1" t="s">
        <v>169</v>
      </c>
      <c r="E1" s="10"/>
      <c r="F1" s="10">
        <v>45858</v>
      </c>
      <c r="G1" s="10">
        <v>45866</v>
      </c>
      <c r="H1" t="s">
        <v>170</v>
      </c>
      <c r="I1" s="10">
        <v>45886</v>
      </c>
      <c r="J1" t="s">
        <v>171</v>
      </c>
      <c r="K1" s="10">
        <v>45894</v>
      </c>
      <c r="L1" t="s">
        <v>172</v>
      </c>
      <c r="M1" s="10">
        <v>45927</v>
      </c>
    </row>
    <row r="2" spans="1:13" x14ac:dyDescent="0.25">
      <c r="A2" s="2">
        <v>8791</v>
      </c>
      <c r="B2" s="3" t="s">
        <v>1</v>
      </c>
      <c r="C2" s="4">
        <v>8</v>
      </c>
      <c r="F2" s="4">
        <v>0</v>
      </c>
      <c r="G2">
        <v>6</v>
      </c>
      <c r="H2" s="11">
        <v>-6</v>
      </c>
      <c r="I2">
        <f>IFERROR(VLOOKUP(A2,[1]CONTAGEM_DIARIA_JUL25!$B:$M,12,0),"NA")</f>
        <v>0</v>
      </c>
      <c r="J2">
        <f>IF(I2="NA",C2,I2)</f>
        <v>0</v>
      </c>
      <c r="K2">
        <f>IFERROR(VLOOKUP(A2,[2]CONTAGEM_DIARIA_JUL25!$B:$M,12,0),"nao")</f>
        <v>0</v>
      </c>
      <c r="L2">
        <f>IF(K2="NAO",C2,K2)</f>
        <v>0</v>
      </c>
      <c r="M2">
        <f>VLOOKUP(A2,[3]CONTAGEM_DIARIA_JUL25!$B:$M,12,0)</f>
        <v>8</v>
      </c>
    </row>
    <row r="3" spans="1:13" x14ac:dyDescent="0.25">
      <c r="A3" s="7">
        <v>10138</v>
      </c>
      <c r="B3" s="8" t="s">
        <v>160</v>
      </c>
      <c r="C3" s="9">
        <v>0</v>
      </c>
      <c r="F3" s="9">
        <v>0</v>
      </c>
      <c r="G3">
        <v>0</v>
      </c>
      <c r="H3" s="11">
        <v>0</v>
      </c>
      <c r="I3" t="str">
        <f>IFERROR(VLOOKUP(A3,[1]CONTAGEM_DIARIA_JUL25!$B:$M,12,0),"NA")</f>
        <v>NA</v>
      </c>
      <c r="J3">
        <f>IF(I3="NA",C3,I3)</f>
        <v>0</v>
      </c>
      <c r="K3" t="str">
        <f>IFERROR(VLOOKUP(A3,[2]CONTAGEM_DIARIA_JUL25!$B:$M,12,0),"nao")</f>
        <v>nao</v>
      </c>
      <c r="L3">
        <f t="shared" ref="L3:L66" si="0">IF(K3="NAO",C3,K3)</f>
        <v>0</v>
      </c>
      <c r="M3" t="e">
        <f>VLOOKUP(A3,[3]CONTAGEM_DIARIA_JUL25!$B:$M,12,0)</f>
        <v>#N/A</v>
      </c>
    </row>
    <row r="4" spans="1:13" x14ac:dyDescent="0.25">
      <c r="A4" s="2">
        <v>3029</v>
      </c>
      <c r="B4" s="3" t="s">
        <v>2</v>
      </c>
      <c r="C4" s="4">
        <v>17</v>
      </c>
      <c r="F4" s="4">
        <v>19</v>
      </c>
      <c r="G4">
        <v>17</v>
      </c>
      <c r="H4" s="11">
        <v>2</v>
      </c>
      <c r="I4" t="str">
        <f>IFERROR(VLOOKUP(A4,[1]CONTAGEM_DIARIA_JUL25!$B:$M,12,0),"NA")</f>
        <v>NA</v>
      </c>
      <c r="J4">
        <f>IF(I4="NA",C4,I4)</f>
        <v>17</v>
      </c>
      <c r="K4" t="str">
        <f>IFERROR(VLOOKUP(A4,[2]CONTAGEM_DIARIA_JUL25!$B:$M,12,0),"nao")</f>
        <v>nao</v>
      </c>
      <c r="L4">
        <f t="shared" si="0"/>
        <v>17</v>
      </c>
      <c r="M4" t="e">
        <f>VLOOKUP(A4,[3]CONTAGEM_DIARIA_JUL25!$B:$M,12,0)</f>
        <v>#N/A</v>
      </c>
    </row>
    <row r="5" spans="1:13" x14ac:dyDescent="0.25">
      <c r="A5" s="2">
        <v>19634</v>
      </c>
      <c r="B5" s="3" t="s">
        <v>3</v>
      </c>
      <c r="C5" s="4">
        <v>6.492</v>
      </c>
      <c r="F5" s="4">
        <v>0</v>
      </c>
      <c r="G5">
        <v>6.492</v>
      </c>
      <c r="H5" s="11">
        <v>-6.492</v>
      </c>
      <c r="I5" t="str">
        <f>IFERROR(VLOOKUP(A5,[1]CONTAGEM_DIARIA_JUL25!$B:$M,12,0),"NA")</f>
        <v>NA</v>
      </c>
      <c r="J5">
        <f>IF(I5="NA",C5,I5)</f>
        <v>6.492</v>
      </c>
      <c r="K5" t="str">
        <f>IFERROR(VLOOKUP(A5,[2]CONTAGEM_DIARIA_JUL25!$B:$M,12,0),"nao")</f>
        <v>nao</v>
      </c>
      <c r="L5">
        <f t="shared" si="0"/>
        <v>6.492</v>
      </c>
      <c r="M5" t="e">
        <f>VLOOKUP(A5,[3]CONTAGEM_DIARIA_JUL25!$B:$M,12,0)</f>
        <v>#N/A</v>
      </c>
    </row>
    <row r="6" spans="1:13" x14ac:dyDescent="0.25">
      <c r="A6" s="2">
        <v>21358</v>
      </c>
      <c r="B6" s="3" t="s">
        <v>4</v>
      </c>
      <c r="C6" s="4">
        <v>0</v>
      </c>
      <c r="F6" s="4">
        <v>0</v>
      </c>
      <c r="G6">
        <v>0</v>
      </c>
      <c r="H6" s="11">
        <v>0</v>
      </c>
      <c r="I6" t="str">
        <f>IFERROR(VLOOKUP(A6,[1]CONTAGEM_DIARIA_JUL25!$B:$M,12,0),"NA")</f>
        <v>NA</v>
      </c>
      <c r="J6">
        <f>IF(I6="NA",C6,I6)</f>
        <v>0</v>
      </c>
      <c r="K6" t="str">
        <f>IFERROR(VLOOKUP(A6,[2]CONTAGEM_DIARIA_JUL25!$B:$M,12,0),"nao")</f>
        <v>nao</v>
      </c>
      <c r="L6">
        <f t="shared" si="0"/>
        <v>0</v>
      </c>
      <c r="M6" t="e">
        <f>VLOOKUP(A6,[3]CONTAGEM_DIARIA_JUL25!$B:$M,12,0)</f>
        <v>#N/A</v>
      </c>
    </row>
    <row r="7" spans="1:13" x14ac:dyDescent="0.25">
      <c r="A7" s="2">
        <v>21317</v>
      </c>
      <c r="B7" s="3" t="s">
        <v>5</v>
      </c>
      <c r="C7" s="4">
        <v>2.4980000000000002</v>
      </c>
      <c r="F7" s="4">
        <v>1.23</v>
      </c>
      <c r="G7">
        <v>2.4980000000000002</v>
      </c>
      <c r="H7" s="11">
        <v>-1.2680000000000002</v>
      </c>
      <c r="I7" t="str">
        <f>IFERROR(VLOOKUP(A7,[1]CONTAGEM_DIARIA_JUL25!$B:$M,12,0),"NA")</f>
        <v>NA</v>
      </c>
      <c r="J7">
        <f t="shared" ref="J7:J66" si="1">IF(I7="NA",C7,I7)</f>
        <v>2.4980000000000002</v>
      </c>
      <c r="K7" t="str">
        <f>IFERROR(VLOOKUP(A7,[2]CONTAGEM_DIARIA_JUL25!$B:$M,12,0),"nao")</f>
        <v>nao</v>
      </c>
      <c r="L7">
        <f t="shared" si="0"/>
        <v>2.4980000000000002</v>
      </c>
      <c r="M7" t="e">
        <f>VLOOKUP(A7,[3]CONTAGEM_DIARIA_JUL25!$B:$M,12,0)</f>
        <v>#N/A</v>
      </c>
    </row>
    <row r="8" spans="1:13" x14ac:dyDescent="0.25">
      <c r="A8" s="2">
        <v>28582</v>
      </c>
      <c r="B8" s="3" t="s">
        <v>6</v>
      </c>
      <c r="C8" s="4">
        <v>664.38</v>
      </c>
      <c r="F8" s="4">
        <v>0</v>
      </c>
      <c r="G8">
        <v>664.38</v>
      </c>
      <c r="H8" s="11">
        <v>-664.38</v>
      </c>
      <c r="I8" t="str">
        <f>IFERROR(VLOOKUP(A8,[1]CONTAGEM_DIARIA_JUL25!$B:$M,12,0),"NA")</f>
        <v>NA</v>
      </c>
      <c r="J8">
        <f t="shared" si="1"/>
        <v>664.38</v>
      </c>
      <c r="K8" t="str">
        <f>IFERROR(VLOOKUP(A8,[2]CONTAGEM_DIARIA_JUL25!$B:$M,12,0),"nao")</f>
        <v>nao</v>
      </c>
      <c r="L8">
        <f t="shared" si="0"/>
        <v>664.38</v>
      </c>
      <c r="M8" t="e">
        <f>VLOOKUP(A8,[3]CONTAGEM_DIARIA_JUL25!$B:$M,12,0)</f>
        <v>#N/A</v>
      </c>
    </row>
    <row r="9" spans="1:13" x14ac:dyDescent="0.25">
      <c r="A9" s="2">
        <v>37839</v>
      </c>
      <c r="B9" s="3" t="s">
        <v>7</v>
      </c>
      <c r="C9" s="4">
        <v>0</v>
      </c>
      <c r="F9" s="4">
        <v>0</v>
      </c>
      <c r="G9">
        <v>0</v>
      </c>
      <c r="H9" s="11">
        <v>0</v>
      </c>
      <c r="I9" t="str">
        <f>IFERROR(VLOOKUP(A9,[1]CONTAGEM_DIARIA_JUL25!$B:$M,12,0),"NA")</f>
        <v>NA</v>
      </c>
      <c r="J9">
        <f t="shared" si="1"/>
        <v>0</v>
      </c>
      <c r="K9" t="str">
        <f>IFERROR(VLOOKUP(A9,[2]CONTAGEM_DIARIA_JUL25!$B:$M,12,0),"nao")</f>
        <v>nao</v>
      </c>
      <c r="L9">
        <f t="shared" si="0"/>
        <v>0</v>
      </c>
      <c r="M9" t="e">
        <f>VLOOKUP(A9,[3]CONTAGEM_DIARIA_JUL25!$B:$M,12,0)</f>
        <v>#N/A</v>
      </c>
    </row>
    <row r="10" spans="1:13" x14ac:dyDescent="0.25">
      <c r="A10" s="2">
        <v>37840</v>
      </c>
      <c r="B10" s="3" t="s">
        <v>8</v>
      </c>
      <c r="C10" s="4">
        <v>0</v>
      </c>
      <c r="F10" s="4">
        <v>0</v>
      </c>
      <c r="G10">
        <v>0</v>
      </c>
      <c r="H10" s="11">
        <v>0</v>
      </c>
      <c r="I10" t="str">
        <f>IFERROR(VLOOKUP(A10,[1]CONTAGEM_DIARIA_JUL25!$B:$M,12,0),"NA")</f>
        <v>NA</v>
      </c>
      <c r="J10">
        <f t="shared" si="1"/>
        <v>0</v>
      </c>
      <c r="K10" t="str">
        <f>IFERROR(VLOOKUP(A10,[2]CONTAGEM_DIARIA_JUL25!$B:$M,12,0),"nao")</f>
        <v>nao</v>
      </c>
      <c r="L10">
        <f t="shared" si="0"/>
        <v>0</v>
      </c>
      <c r="M10" t="e">
        <f>VLOOKUP(A10,[3]CONTAGEM_DIARIA_JUL25!$B:$M,12,0)</f>
        <v>#N/A</v>
      </c>
    </row>
    <row r="11" spans="1:13" x14ac:dyDescent="0.25">
      <c r="A11" s="2">
        <v>26290</v>
      </c>
      <c r="B11" s="3" t="s">
        <v>9</v>
      </c>
      <c r="C11" s="4">
        <v>489</v>
      </c>
      <c r="F11" s="4">
        <v>902</v>
      </c>
      <c r="G11">
        <v>489</v>
      </c>
      <c r="H11" s="11">
        <v>413</v>
      </c>
      <c r="I11" t="str">
        <f>IFERROR(VLOOKUP(A11,[1]CONTAGEM_DIARIA_JUL25!$B:$M,12,0),"NA")</f>
        <v>NA</v>
      </c>
      <c r="J11">
        <f t="shared" si="1"/>
        <v>489</v>
      </c>
      <c r="K11" t="str">
        <f>IFERROR(VLOOKUP(A11,[2]CONTAGEM_DIARIA_JUL25!$B:$M,12,0),"nao")</f>
        <v>nao</v>
      </c>
      <c r="L11">
        <f t="shared" si="0"/>
        <v>489</v>
      </c>
      <c r="M11" t="e">
        <f>VLOOKUP(A11,[3]CONTAGEM_DIARIA_JUL25!$B:$M,12,0)</f>
        <v>#N/A</v>
      </c>
    </row>
    <row r="12" spans="1:13" x14ac:dyDescent="0.25">
      <c r="A12" s="2">
        <v>36305</v>
      </c>
      <c r="B12" s="3" t="s">
        <v>10</v>
      </c>
      <c r="C12" s="4">
        <v>0</v>
      </c>
      <c r="F12" s="4">
        <v>0</v>
      </c>
      <c r="G12">
        <v>0</v>
      </c>
      <c r="H12" s="11">
        <v>0</v>
      </c>
      <c r="I12" t="str">
        <f>IFERROR(VLOOKUP(A12,[1]CONTAGEM_DIARIA_JUL25!$B:$M,12,0),"NA")</f>
        <v>NA</v>
      </c>
      <c r="J12">
        <f t="shared" si="1"/>
        <v>0</v>
      </c>
      <c r="K12" t="str">
        <f>IFERROR(VLOOKUP(A12,[2]CONTAGEM_DIARIA_JUL25!$B:$M,12,0),"nao")</f>
        <v>nao</v>
      </c>
      <c r="L12">
        <f t="shared" si="0"/>
        <v>0</v>
      </c>
      <c r="M12" t="e">
        <f>VLOOKUP(A12,[3]CONTAGEM_DIARIA_JUL25!$B:$M,12,0)</f>
        <v>#N/A</v>
      </c>
    </row>
    <row r="13" spans="1:13" x14ac:dyDescent="0.25">
      <c r="A13" s="2">
        <v>37744</v>
      </c>
      <c r="B13" s="3" t="s">
        <v>11</v>
      </c>
      <c r="C13" s="4">
        <v>0</v>
      </c>
      <c r="F13" s="4">
        <v>0</v>
      </c>
      <c r="G13">
        <v>0</v>
      </c>
      <c r="H13" s="11">
        <v>0</v>
      </c>
      <c r="I13" t="str">
        <f>IFERROR(VLOOKUP(A13,[1]CONTAGEM_DIARIA_JUL25!$B:$M,12,0),"NA")</f>
        <v>NA</v>
      </c>
      <c r="J13">
        <f t="shared" si="1"/>
        <v>0</v>
      </c>
      <c r="K13" t="str">
        <f>IFERROR(VLOOKUP(A13,[2]CONTAGEM_DIARIA_JUL25!$B:$M,12,0),"nao")</f>
        <v>nao</v>
      </c>
      <c r="L13">
        <f t="shared" si="0"/>
        <v>0</v>
      </c>
      <c r="M13" t="e">
        <f>VLOOKUP(A13,[3]CONTAGEM_DIARIA_JUL25!$B:$M,12,0)</f>
        <v>#N/A</v>
      </c>
    </row>
    <row r="14" spans="1:13" x14ac:dyDescent="0.25">
      <c r="A14" s="2">
        <v>21055</v>
      </c>
      <c r="B14" s="3" t="s">
        <v>12</v>
      </c>
      <c r="C14" s="4">
        <v>112.6</v>
      </c>
      <c r="F14" s="4">
        <v>19.61</v>
      </c>
      <c r="G14">
        <v>51.911999999999999</v>
      </c>
      <c r="H14" s="11">
        <v>-32.302</v>
      </c>
      <c r="I14">
        <f>IFERROR(VLOOKUP(A14,[1]CONTAGEM_DIARIA_JUL25!$B:$M,12,0),"NA")</f>
        <v>86.98</v>
      </c>
      <c r="J14">
        <f t="shared" si="1"/>
        <v>86.98</v>
      </c>
      <c r="K14">
        <f>IFERROR(VLOOKUP(A14,[2]CONTAGEM_DIARIA_JUL25!$B:$M,12,0),"nao")</f>
        <v>25.308</v>
      </c>
      <c r="L14">
        <f t="shared" si="0"/>
        <v>25.308</v>
      </c>
      <c r="M14">
        <f>VLOOKUP(A14,[3]CONTAGEM_DIARIA_JUL25!$B:$M,12,0)</f>
        <v>112.6</v>
      </c>
    </row>
    <row r="15" spans="1:13" x14ac:dyDescent="0.25">
      <c r="A15" s="2">
        <v>28459</v>
      </c>
      <c r="B15" s="3" t="s">
        <v>13</v>
      </c>
      <c r="C15" s="4">
        <v>22</v>
      </c>
      <c r="F15" s="4">
        <v>0</v>
      </c>
      <c r="G15">
        <v>22</v>
      </c>
      <c r="H15" s="11">
        <v>-22</v>
      </c>
      <c r="I15" t="str">
        <f>IFERROR(VLOOKUP(A15,[1]CONTAGEM_DIARIA_JUL25!$B:$M,12,0),"NA")</f>
        <v>NA</v>
      </c>
      <c r="J15">
        <f t="shared" si="1"/>
        <v>22</v>
      </c>
      <c r="K15" t="str">
        <f>IFERROR(VLOOKUP(A15,[2]CONTAGEM_DIARIA_JUL25!$B:$M,12,0),"nao")</f>
        <v>nao</v>
      </c>
      <c r="L15">
        <f t="shared" si="0"/>
        <v>22</v>
      </c>
      <c r="M15" t="e">
        <f>VLOOKUP(A15,[3]CONTAGEM_DIARIA_JUL25!$B:$M,12,0)</f>
        <v>#N/A</v>
      </c>
    </row>
    <row r="16" spans="1:13" x14ac:dyDescent="0.25">
      <c r="A16" s="2">
        <v>33057</v>
      </c>
      <c r="B16" s="3" t="s">
        <v>14</v>
      </c>
      <c r="C16" s="4">
        <v>31</v>
      </c>
      <c r="F16" s="4">
        <v>20</v>
      </c>
      <c r="G16">
        <v>31</v>
      </c>
      <c r="H16" s="11">
        <v>-11</v>
      </c>
      <c r="I16" t="str">
        <f>IFERROR(VLOOKUP(A16,[1]CONTAGEM_DIARIA_JUL25!$B:$M,12,0),"NA")</f>
        <v>NA</v>
      </c>
      <c r="J16">
        <f t="shared" si="1"/>
        <v>31</v>
      </c>
      <c r="K16" t="str">
        <f>IFERROR(VLOOKUP(A16,[2]CONTAGEM_DIARIA_JUL25!$B:$M,12,0),"nao")</f>
        <v>nao</v>
      </c>
      <c r="L16">
        <f t="shared" si="0"/>
        <v>31</v>
      </c>
      <c r="M16" t="e">
        <f>VLOOKUP(A16,[3]CONTAGEM_DIARIA_JUL25!$B:$M,12,0)</f>
        <v>#N/A</v>
      </c>
    </row>
    <row r="17" spans="1:13" x14ac:dyDescent="0.25">
      <c r="A17" s="2">
        <v>34580</v>
      </c>
      <c r="B17" s="3" t="s">
        <v>15</v>
      </c>
      <c r="C17" s="4">
        <v>48</v>
      </c>
      <c r="F17" s="4">
        <v>92</v>
      </c>
      <c r="G17">
        <v>0</v>
      </c>
      <c r="H17" s="11">
        <v>92</v>
      </c>
      <c r="I17">
        <f>IFERROR(VLOOKUP(A17,[1]CONTAGEM_DIARIA_JUL25!$B:$M,12,0),"NA")</f>
        <v>360</v>
      </c>
      <c r="J17">
        <f t="shared" si="1"/>
        <v>360</v>
      </c>
      <c r="K17">
        <f>IFERROR(VLOOKUP(A17,[2]CONTAGEM_DIARIA_JUL25!$B:$M,12,0),"nao")</f>
        <v>71</v>
      </c>
      <c r="L17">
        <f t="shared" si="0"/>
        <v>71</v>
      </c>
      <c r="M17">
        <f>VLOOKUP(A17,[3]CONTAGEM_DIARIA_JUL25!$B:$M,12,0)</f>
        <v>48</v>
      </c>
    </row>
    <row r="18" spans="1:13" x14ac:dyDescent="0.25">
      <c r="A18" s="7">
        <v>24754</v>
      </c>
      <c r="B18" s="8" t="s">
        <v>162</v>
      </c>
      <c r="C18" s="4">
        <v>360</v>
      </c>
      <c r="F18" s="4">
        <v>0</v>
      </c>
      <c r="G18">
        <v>0</v>
      </c>
      <c r="H18" s="11">
        <v>0</v>
      </c>
      <c r="I18" t="str">
        <f>IFERROR(VLOOKUP(A18,[1]CONTAGEM_DIARIA_JUL25!$B:$M,12,0),"NA")</f>
        <v>NA</v>
      </c>
      <c r="J18">
        <f t="shared" si="1"/>
        <v>360</v>
      </c>
      <c r="K18" t="str">
        <f>IFERROR(VLOOKUP(A18,[2]CONTAGEM_DIARIA_JUL25!$B:$M,12,0),"nao")</f>
        <v>nao</v>
      </c>
      <c r="L18">
        <f t="shared" si="0"/>
        <v>360</v>
      </c>
      <c r="M18" t="e">
        <f>VLOOKUP(A18,[3]CONTAGEM_DIARIA_JUL25!$B:$M,12,0)</f>
        <v>#N/A</v>
      </c>
    </row>
    <row r="19" spans="1:13" x14ac:dyDescent="0.25">
      <c r="A19" s="2">
        <v>38838</v>
      </c>
      <c r="B19" s="3" t="s">
        <v>16</v>
      </c>
      <c r="C19" s="4">
        <v>0</v>
      </c>
      <c r="F19" s="4">
        <v>0</v>
      </c>
      <c r="G19">
        <v>0</v>
      </c>
      <c r="H19" s="11">
        <v>0</v>
      </c>
      <c r="I19" t="str">
        <f>IFERROR(VLOOKUP(A19,[1]CONTAGEM_DIARIA_JUL25!$B:$M,12,0),"NA")</f>
        <v>NA</v>
      </c>
      <c r="J19">
        <f t="shared" si="1"/>
        <v>0</v>
      </c>
      <c r="K19" t="str">
        <f>IFERROR(VLOOKUP(A19,[2]CONTAGEM_DIARIA_JUL25!$B:$M,12,0),"nao")</f>
        <v>nao</v>
      </c>
      <c r="L19">
        <f t="shared" si="0"/>
        <v>0</v>
      </c>
      <c r="M19" t="e">
        <f>VLOOKUP(A19,[3]CONTAGEM_DIARIA_JUL25!$B:$M,12,0)</f>
        <v>#N/A</v>
      </c>
    </row>
    <row r="20" spans="1:13" x14ac:dyDescent="0.25">
      <c r="A20" s="2">
        <v>38008</v>
      </c>
      <c r="B20" s="3" t="s">
        <v>17</v>
      </c>
      <c r="C20" s="4">
        <v>0</v>
      </c>
      <c r="F20" s="4">
        <v>4.5280000000000005</v>
      </c>
      <c r="G20">
        <v>0</v>
      </c>
      <c r="H20" s="11">
        <v>4.5280000000000005</v>
      </c>
      <c r="I20" t="str">
        <f>IFERROR(VLOOKUP(A20,[1]CONTAGEM_DIARIA_JUL25!$B:$M,12,0),"NA")</f>
        <v>NA</v>
      </c>
      <c r="J20">
        <f t="shared" si="1"/>
        <v>0</v>
      </c>
      <c r="K20" t="str">
        <f>IFERROR(VLOOKUP(A20,[2]CONTAGEM_DIARIA_JUL25!$B:$M,12,0),"nao")</f>
        <v>nao</v>
      </c>
      <c r="L20">
        <f t="shared" si="0"/>
        <v>0</v>
      </c>
      <c r="M20" t="e">
        <f>VLOOKUP(A20,[3]CONTAGEM_DIARIA_JUL25!$B:$M,12,0)</f>
        <v>#N/A</v>
      </c>
    </row>
    <row r="21" spans="1:13" x14ac:dyDescent="0.25">
      <c r="A21" s="2">
        <v>39679</v>
      </c>
      <c r="B21" s="3" t="s">
        <v>18</v>
      </c>
      <c r="C21" s="4">
        <v>0</v>
      </c>
      <c r="F21" s="4">
        <v>0</v>
      </c>
      <c r="G21">
        <v>0</v>
      </c>
      <c r="H21" s="11">
        <v>0</v>
      </c>
      <c r="I21">
        <f>IFERROR(VLOOKUP(A21,[1]CONTAGEM_DIARIA_JUL25!$B:$M,12,0),"NA")</f>
        <v>0</v>
      </c>
      <c r="J21">
        <f t="shared" si="1"/>
        <v>0</v>
      </c>
      <c r="K21">
        <f>IFERROR(VLOOKUP(A21,[2]CONTAGEM_DIARIA_JUL25!$B:$M,12,0),"nao")</f>
        <v>0</v>
      </c>
      <c r="L21">
        <f t="shared" si="0"/>
        <v>0</v>
      </c>
      <c r="M21">
        <f>VLOOKUP(A21,[3]CONTAGEM_DIARIA_JUL25!$B:$M,12,0)</f>
        <v>0</v>
      </c>
    </row>
    <row r="22" spans="1:13" x14ac:dyDescent="0.25">
      <c r="A22" s="2">
        <v>39060</v>
      </c>
      <c r="B22" s="3" t="s">
        <v>19</v>
      </c>
      <c r="C22" s="4">
        <v>0</v>
      </c>
      <c r="F22" s="4">
        <v>0</v>
      </c>
      <c r="G22">
        <v>0</v>
      </c>
      <c r="H22" s="11">
        <v>0</v>
      </c>
      <c r="I22">
        <f>IFERROR(VLOOKUP(A22,[1]CONTAGEM_DIARIA_JUL25!$B:$M,12,0),"NA")</f>
        <v>0</v>
      </c>
      <c r="J22">
        <f t="shared" si="1"/>
        <v>0</v>
      </c>
      <c r="K22">
        <f>IFERROR(VLOOKUP(A22,[2]CONTAGEM_DIARIA_JUL25!$B:$M,12,0),"nao")</f>
        <v>0</v>
      </c>
      <c r="L22">
        <f t="shared" si="0"/>
        <v>0</v>
      </c>
      <c r="M22">
        <f>VLOOKUP(A22,[3]CONTAGEM_DIARIA_JUL25!$B:$M,12,0)</f>
        <v>0</v>
      </c>
    </row>
    <row r="23" spans="1:13" x14ac:dyDescent="0.25">
      <c r="A23" s="2">
        <v>34298</v>
      </c>
      <c r="B23" s="3" t="s">
        <v>20</v>
      </c>
      <c r="C23" s="4">
        <v>21</v>
      </c>
      <c r="F23" s="4">
        <v>8</v>
      </c>
      <c r="G23">
        <v>0</v>
      </c>
      <c r="H23" s="11">
        <v>8</v>
      </c>
      <c r="I23">
        <f>IFERROR(VLOOKUP(A23,[1]CONTAGEM_DIARIA_JUL25!$B:$M,12,0),"NA")</f>
        <v>25</v>
      </c>
      <c r="J23">
        <f t="shared" si="1"/>
        <v>25</v>
      </c>
      <c r="K23">
        <f>IFERROR(VLOOKUP(A23,[2]CONTAGEM_DIARIA_JUL25!$B:$M,12,0),"nao")</f>
        <v>17</v>
      </c>
      <c r="L23">
        <f t="shared" si="0"/>
        <v>17</v>
      </c>
      <c r="M23">
        <f>VLOOKUP(A23,[3]CONTAGEM_DIARIA_JUL25!$B:$M,12,0)</f>
        <v>21</v>
      </c>
    </row>
    <row r="24" spans="1:13" x14ac:dyDescent="0.25">
      <c r="A24" s="2">
        <v>33919</v>
      </c>
      <c r="B24" s="3" t="s">
        <v>21</v>
      </c>
      <c r="C24" s="4">
        <v>0.38500000000000001</v>
      </c>
      <c r="F24" s="4">
        <v>0.39</v>
      </c>
      <c r="G24">
        <v>0.38500000000000001</v>
      </c>
      <c r="H24" s="11">
        <v>5.0000000000000044E-3</v>
      </c>
      <c r="I24" t="str">
        <f>IFERROR(VLOOKUP(A24,[1]CONTAGEM_DIARIA_JUL25!$B:$M,12,0),"NA")</f>
        <v>NA</v>
      </c>
      <c r="J24">
        <f t="shared" si="1"/>
        <v>0.38500000000000001</v>
      </c>
      <c r="K24" t="str">
        <f>IFERROR(VLOOKUP(A24,[2]CONTAGEM_DIARIA_JUL25!$B:$M,12,0),"nao")</f>
        <v>nao</v>
      </c>
      <c r="L24">
        <f t="shared" si="0"/>
        <v>0.38500000000000001</v>
      </c>
      <c r="M24" t="e">
        <f>VLOOKUP(A24,[3]CONTAGEM_DIARIA_JUL25!$B:$M,12,0)</f>
        <v>#N/A</v>
      </c>
    </row>
    <row r="25" spans="1:13" x14ac:dyDescent="0.25">
      <c r="A25" s="2">
        <v>38577</v>
      </c>
      <c r="B25" s="3" t="s">
        <v>22</v>
      </c>
      <c r="C25" s="4">
        <v>31</v>
      </c>
      <c r="F25" s="4">
        <v>35</v>
      </c>
      <c r="G25">
        <v>31</v>
      </c>
      <c r="H25" s="11">
        <v>4</v>
      </c>
      <c r="I25" t="str">
        <f>IFERROR(VLOOKUP(A25,[1]CONTAGEM_DIARIA_JUL25!$B:$M,12,0),"NA")</f>
        <v>NA</v>
      </c>
      <c r="J25">
        <f t="shared" si="1"/>
        <v>31</v>
      </c>
      <c r="K25" t="str">
        <f>IFERROR(VLOOKUP(A25,[2]CONTAGEM_DIARIA_JUL25!$B:$M,12,0),"nao")</f>
        <v>nao</v>
      </c>
      <c r="L25">
        <f t="shared" si="0"/>
        <v>31</v>
      </c>
      <c r="M25" t="e">
        <f>VLOOKUP(A25,[3]CONTAGEM_DIARIA_JUL25!$B:$M,12,0)</f>
        <v>#N/A</v>
      </c>
    </row>
    <row r="26" spans="1:13" x14ac:dyDescent="0.25">
      <c r="A26" s="2">
        <v>38007</v>
      </c>
      <c r="B26" s="3" t="s">
        <v>23</v>
      </c>
      <c r="C26" s="4">
        <v>0</v>
      </c>
      <c r="F26" s="4">
        <v>0</v>
      </c>
      <c r="G26">
        <v>0</v>
      </c>
      <c r="H26" s="11">
        <v>0</v>
      </c>
      <c r="I26" t="str">
        <f>IFERROR(VLOOKUP(A26,[1]CONTAGEM_DIARIA_JUL25!$B:$M,12,0),"NA")</f>
        <v>NA</v>
      </c>
      <c r="J26">
        <f t="shared" si="1"/>
        <v>0</v>
      </c>
      <c r="K26" t="str">
        <f>IFERROR(VLOOKUP(A26,[2]CONTAGEM_DIARIA_JUL25!$B:$M,12,0),"nao")</f>
        <v>nao</v>
      </c>
      <c r="L26">
        <f t="shared" si="0"/>
        <v>0</v>
      </c>
      <c r="M26" t="e">
        <f>VLOOKUP(A26,[3]CONTAGEM_DIARIA_JUL25!$B:$M,12,0)</f>
        <v>#N/A</v>
      </c>
    </row>
    <row r="27" spans="1:13" x14ac:dyDescent="0.25">
      <c r="A27" s="2">
        <v>37986</v>
      </c>
      <c r="B27" s="3" t="s">
        <v>24</v>
      </c>
      <c r="C27" s="4">
        <v>0</v>
      </c>
      <c r="F27" s="4">
        <v>0</v>
      </c>
      <c r="G27">
        <v>0</v>
      </c>
      <c r="H27" s="11">
        <v>0</v>
      </c>
      <c r="I27" t="str">
        <f>IFERROR(VLOOKUP(A27,[1]CONTAGEM_DIARIA_JUL25!$B:$M,12,0),"NA")</f>
        <v>NA</v>
      </c>
      <c r="J27">
        <f t="shared" si="1"/>
        <v>0</v>
      </c>
      <c r="K27" t="str">
        <f>IFERROR(VLOOKUP(A27,[2]CONTAGEM_DIARIA_JUL25!$B:$M,12,0),"nao")</f>
        <v>nao</v>
      </c>
      <c r="L27">
        <f t="shared" si="0"/>
        <v>0</v>
      </c>
      <c r="M27" t="e">
        <f>VLOOKUP(A27,[3]CONTAGEM_DIARIA_JUL25!$B:$M,12,0)</f>
        <v>#N/A</v>
      </c>
    </row>
    <row r="28" spans="1:13" x14ac:dyDescent="0.25">
      <c r="A28" s="2">
        <v>38454</v>
      </c>
      <c r="B28" s="3" t="s">
        <v>25</v>
      </c>
      <c r="C28" s="4">
        <v>0</v>
      </c>
      <c r="F28" s="4">
        <v>0</v>
      </c>
      <c r="G28">
        <v>0</v>
      </c>
      <c r="H28" s="11">
        <v>0</v>
      </c>
      <c r="I28" t="str">
        <f>IFERROR(VLOOKUP(A28,[1]CONTAGEM_DIARIA_JUL25!$B:$M,12,0),"NA")</f>
        <v>NA</v>
      </c>
      <c r="J28">
        <f t="shared" si="1"/>
        <v>0</v>
      </c>
      <c r="K28" t="str">
        <f>IFERROR(VLOOKUP(A28,[2]CONTAGEM_DIARIA_JUL25!$B:$M,12,0),"nao")</f>
        <v>nao</v>
      </c>
      <c r="L28">
        <f t="shared" si="0"/>
        <v>0</v>
      </c>
      <c r="M28" t="e">
        <f>VLOOKUP(A28,[3]CONTAGEM_DIARIA_JUL25!$B:$M,12,0)</f>
        <v>#N/A</v>
      </c>
    </row>
    <row r="29" spans="1:13" x14ac:dyDescent="0.25">
      <c r="A29" s="2">
        <v>30153</v>
      </c>
      <c r="B29" s="3" t="s">
        <v>26</v>
      </c>
      <c r="C29" s="4">
        <v>7.79</v>
      </c>
      <c r="F29" s="4">
        <v>7.7080000000000002</v>
      </c>
      <c r="G29">
        <v>7.79</v>
      </c>
      <c r="H29" s="11">
        <v>-8.1999999999999851E-2</v>
      </c>
      <c r="I29" t="str">
        <f>IFERROR(VLOOKUP(A29,[1]CONTAGEM_DIARIA_JUL25!$B:$M,12,0),"NA")</f>
        <v>NA</v>
      </c>
      <c r="J29">
        <f t="shared" si="1"/>
        <v>7.79</v>
      </c>
      <c r="K29" t="str">
        <f>IFERROR(VLOOKUP(A29,[2]CONTAGEM_DIARIA_JUL25!$B:$M,12,0),"nao")</f>
        <v>nao</v>
      </c>
      <c r="L29">
        <f t="shared" si="0"/>
        <v>7.79</v>
      </c>
      <c r="M29" t="e">
        <f>VLOOKUP(A29,[3]CONTAGEM_DIARIA_JUL25!$B:$M,12,0)</f>
        <v>#N/A</v>
      </c>
    </row>
    <row r="30" spans="1:13" x14ac:dyDescent="0.25">
      <c r="A30" s="2">
        <v>34599</v>
      </c>
      <c r="B30" s="3" t="s">
        <v>27</v>
      </c>
      <c r="C30" s="4">
        <v>17.248000000000001</v>
      </c>
      <c r="F30" s="4">
        <v>17.106000000000002</v>
      </c>
      <c r="G30">
        <v>17.248000000000001</v>
      </c>
      <c r="H30" s="11">
        <v>-0.14199999999999946</v>
      </c>
      <c r="I30" t="str">
        <f>IFERROR(VLOOKUP(A30,[1]CONTAGEM_DIARIA_JUL25!$B:$M,12,0),"NA")</f>
        <v>NA</v>
      </c>
      <c r="J30">
        <f t="shared" si="1"/>
        <v>17.248000000000001</v>
      </c>
      <c r="K30" t="str">
        <f>IFERROR(VLOOKUP(A30,[2]CONTAGEM_DIARIA_JUL25!$B:$M,12,0),"nao")</f>
        <v>nao</v>
      </c>
      <c r="L30">
        <f t="shared" si="0"/>
        <v>17.248000000000001</v>
      </c>
      <c r="M30" t="e">
        <f>VLOOKUP(A30,[3]CONTAGEM_DIARIA_JUL25!$B:$M,12,0)</f>
        <v>#N/A</v>
      </c>
    </row>
    <row r="31" spans="1:13" x14ac:dyDescent="0.25">
      <c r="A31" s="2">
        <v>30413</v>
      </c>
      <c r="B31" s="3" t="s">
        <v>28</v>
      </c>
      <c r="C31" s="4">
        <v>750</v>
      </c>
      <c r="F31" s="4">
        <v>800</v>
      </c>
      <c r="G31">
        <v>750</v>
      </c>
      <c r="H31" s="11">
        <v>50</v>
      </c>
      <c r="I31" t="str">
        <f>IFERROR(VLOOKUP(A31,[1]CONTAGEM_DIARIA_JUL25!$B:$M,12,0),"NA")</f>
        <v>NA</v>
      </c>
      <c r="J31">
        <f t="shared" si="1"/>
        <v>750</v>
      </c>
      <c r="K31" t="str">
        <f>IFERROR(VLOOKUP(A31,[2]CONTAGEM_DIARIA_JUL25!$B:$M,12,0),"nao")</f>
        <v>nao</v>
      </c>
      <c r="L31">
        <f t="shared" si="0"/>
        <v>750</v>
      </c>
      <c r="M31" t="e">
        <f>VLOOKUP(A31,[3]CONTAGEM_DIARIA_JUL25!$B:$M,12,0)</f>
        <v>#N/A</v>
      </c>
    </row>
    <row r="32" spans="1:13" x14ac:dyDescent="0.25">
      <c r="A32" s="2">
        <v>29842</v>
      </c>
      <c r="B32" s="3" t="s">
        <v>29</v>
      </c>
      <c r="C32" s="4">
        <v>1023</v>
      </c>
      <c r="F32" s="4">
        <v>1000</v>
      </c>
      <c r="G32">
        <v>1023</v>
      </c>
      <c r="H32" s="11">
        <v>-23</v>
      </c>
      <c r="I32" t="str">
        <f>IFERROR(VLOOKUP(A32,[1]CONTAGEM_DIARIA_JUL25!$B:$M,12,0),"NA")</f>
        <v>NA</v>
      </c>
      <c r="J32">
        <f t="shared" si="1"/>
        <v>1023</v>
      </c>
      <c r="K32" t="str">
        <f>IFERROR(VLOOKUP(A32,[2]CONTAGEM_DIARIA_JUL25!$B:$M,12,0),"nao")</f>
        <v>nao</v>
      </c>
      <c r="L32">
        <f t="shared" si="0"/>
        <v>1023</v>
      </c>
      <c r="M32" t="e">
        <f>VLOOKUP(A32,[3]CONTAGEM_DIARIA_JUL25!$B:$M,12,0)</f>
        <v>#N/A</v>
      </c>
    </row>
    <row r="33" spans="1:13" x14ac:dyDescent="0.25">
      <c r="A33" s="2">
        <v>21403</v>
      </c>
      <c r="B33" s="3" t="s">
        <v>30</v>
      </c>
      <c r="C33" s="4">
        <v>681</v>
      </c>
      <c r="F33" s="4">
        <v>235</v>
      </c>
      <c r="G33">
        <v>250</v>
      </c>
      <c r="H33" s="11">
        <v>-15</v>
      </c>
      <c r="I33">
        <f>IFERROR(VLOOKUP(A33,[1]CONTAGEM_DIARIA_JUL25!$B:$M,12,0),"NA")</f>
        <v>456</v>
      </c>
      <c r="J33">
        <f t="shared" si="1"/>
        <v>456</v>
      </c>
      <c r="K33">
        <f>IFERROR(VLOOKUP(A33,[2]CONTAGEM_DIARIA_JUL25!$B:$M,12,0),"nao")</f>
        <v>26</v>
      </c>
      <c r="L33">
        <f t="shared" si="0"/>
        <v>26</v>
      </c>
      <c r="M33">
        <f>VLOOKUP(A33,[3]CONTAGEM_DIARIA_JUL25!$B:$M,12,0)</f>
        <v>681</v>
      </c>
    </row>
    <row r="34" spans="1:13" x14ac:dyDescent="0.25">
      <c r="A34" s="2">
        <v>35221</v>
      </c>
      <c r="B34" s="3" t="s">
        <v>31</v>
      </c>
      <c r="C34" s="4">
        <v>0</v>
      </c>
      <c r="F34" s="4">
        <v>0</v>
      </c>
      <c r="G34">
        <v>0</v>
      </c>
      <c r="H34" s="11">
        <v>0</v>
      </c>
      <c r="I34" t="str">
        <f>IFERROR(VLOOKUP(A34,[1]CONTAGEM_DIARIA_JUL25!$B:$M,12,0),"NA")</f>
        <v>NA</v>
      </c>
      <c r="J34">
        <f t="shared" si="1"/>
        <v>0</v>
      </c>
      <c r="K34" t="str">
        <f>IFERROR(VLOOKUP(A34,[2]CONTAGEM_DIARIA_JUL25!$B:$M,12,0),"nao")</f>
        <v>nao</v>
      </c>
      <c r="L34">
        <f t="shared" si="0"/>
        <v>0</v>
      </c>
      <c r="M34" t="e">
        <f>VLOOKUP(A34,[3]CONTAGEM_DIARIA_JUL25!$B:$M,12,0)</f>
        <v>#N/A</v>
      </c>
    </row>
    <row r="35" spans="1:13" x14ac:dyDescent="0.25">
      <c r="A35" s="2">
        <v>35622</v>
      </c>
      <c r="B35" s="3" t="s">
        <v>32</v>
      </c>
      <c r="C35" s="4">
        <v>981</v>
      </c>
      <c r="F35" s="4">
        <v>0</v>
      </c>
      <c r="G35">
        <v>1</v>
      </c>
      <c r="H35" s="11">
        <v>-1</v>
      </c>
      <c r="I35">
        <f>IFERROR(VLOOKUP(A35,[1]CONTAGEM_DIARIA_JUL25!$B:$M,12,0),"NA")</f>
        <v>1061</v>
      </c>
      <c r="J35">
        <f t="shared" si="1"/>
        <v>1061</v>
      </c>
      <c r="K35" t="str">
        <f>IFERROR(VLOOKUP(A35,[2]CONTAGEM_DIARIA_JUL25!$B:$M,12,0),"nao")</f>
        <v>nao</v>
      </c>
      <c r="L35">
        <v>0</v>
      </c>
      <c r="M35">
        <f>VLOOKUP(A35,[3]CONTAGEM_DIARIA_JUL25!$B:$M,12,0)</f>
        <v>981</v>
      </c>
    </row>
    <row r="36" spans="1:13" x14ac:dyDescent="0.25">
      <c r="A36" s="7">
        <v>36409</v>
      </c>
      <c r="B36" s="8" t="s">
        <v>167</v>
      </c>
      <c r="C36" s="4">
        <v>981</v>
      </c>
      <c r="F36" s="4">
        <v>0</v>
      </c>
      <c r="G36">
        <v>0</v>
      </c>
      <c r="H36" s="11">
        <v>0</v>
      </c>
      <c r="I36" t="str">
        <f>IFERROR(VLOOKUP(A36,[1]CONTAGEM_DIARIA_JUL25!$B:$M,12,0),"NA")</f>
        <v>NA</v>
      </c>
      <c r="J36">
        <f t="shared" si="1"/>
        <v>981</v>
      </c>
      <c r="K36">
        <f>IFERROR(VLOOKUP(A36,[2]CONTAGEM_DIARIA_JUL25!$B:$M,12,0),"nao")</f>
        <v>825</v>
      </c>
      <c r="L36">
        <f t="shared" si="0"/>
        <v>825</v>
      </c>
      <c r="M36" t="e">
        <f>VLOOKUP(A36,[3]CONTAGEM_DIARIA_JUL25!$B:$M,12,0)</f>
        <v>#N/A</v>
      </c>
    </row>
    <row r="37" spans="1:13" x14ac:dyDescent="0.25">
      <c r="A37" s="2">
        <v>31192</v>
      </c>
      <c r="B37" s="3" t="s">
        <v>33</v>
      </c>
      <c r="C37" s="4">
        <v>800</v>
      </c>
      <c r="F37" s="4">
        <v>878</v>
      </c>
      <c r="G37">
        <v>800</v>
      </c>
      <c r="H37" s="11">
        <v>78</v>
      </c>
      <c r="I37" t="str">
        <f>IFERROR(VLOOKUP(A37,[1]CONTAGEM_DIARIA_JUL25!$B:$M,12,0),"NA")</f>
        <v>NA</v>
      </c>
      <c r="J37">
        <f t="shared" si="1"/>
        <v>800</v>
      </c>
      <c r="K37" t="str">
        <f>IFERROR(VLOOKUP(A37,[2]CONTAGEM_DIARIA_JUL25!$B:$M,12,0),"nao")</f>
        <v>nao</v>
      </c>
      <c r="L37">
        <f t="shared" si="0"/>
        <v>800</v>
      </c>
      <c r="M37" t="e">
        <f>VLOOKUP(A37,[3]CONTAGEM_DIARIA_JUL25!$B:$M,12,0)</f>
        <v>#N/A</v>
      </c>
    </row>
    <row r="38" spans="1:13" x14ac:dyDescent="0.25">
      <c r="A38" s="2">
        <v>35051</v>
      </c>
      <c r="B38" s="3" t="s">
        <v>34</v>
      </c>
      <c r="C38" s="4">
        <v>2450</v>
      </c>
      <c r="F38" s="4">
        <v>4485</v>
      </c>
      <c r="G38">
        <v>2450</v>
      </c>
      <c r="H38" s="11">
        <v>2035</v>
      </c>
      <c r="I38" t="str">
        <f>IFERROR(VLOOKUP(A38,[1]CONTAGEM_DIARIA_JUL25!$B:$M,12,0),"NA")</f>
        <v>NA</v>
      </c>
      <c r="J38">
        <f t="shared" si="1"/>
        <v>2450</v>
      </c>
      <c r="K38" t="str">
        <f>IFERROR(VLOOKUP(A38,[2]CONTAGEM_DIARIA_JUL25!$B:$M,12,0),"nao")</f>
        <v>nao</v>
      </c>
      <c r="L38">
        <f t="shared" si="0"/>
        <v>2450</v>
      </c>
      <c r="M38" t="e">
        <f>VLOOKUP(A38,[3]CONTAGEM_DIARIA_JUL25!$B:$M,12,0)</f>
        <v>#N/A</v>
      </c>
    </row>
    <row r="39" spans="1:13" x14ac:dyDescent="0.25">
      <c r="A39" s="7">
        <v>35293</v>
      </c>
      <c r="B39" s="8" t="s">
        <v>161</v>
      </c>
      <c r="C39" s="4">
        <v>2450</v>
      </c>
      <c r="F39" s="4">
        <v>0</v>
      </c>
      <c r="G39">
        <v>0</v>
      </c>
      <c r="H39" s="11">
        <v>0</v>
      </c>
      <c r="I39" t="str">
        <f>IFERROR(VLOOKUP(A39,[1]CONTAGEM_DIARIA_JUL25!$B:$M,12,0),"NA")</f>
        <v>NA</v>
      </c>
      <c r="J39">
        <f t="shared" si="1"/>
        <v>2450</v>
      </c>
      <c r="K39" t="str">
        <f>IFERROR(VLOOKUP(A39,[2]CONTAGEM_DIARIA_JUL25!$B:$M,12,0),"nao")</f>
        <v>nao</v>
      </c>
      <c r="L39">
        <f t="shared" si="0"/>
        <v>2450</v>
      </c>
      <c r="M39" t="e">
        <f>VLOOKUP(A39,[3]CONTAGEM_DIARIA_JUL25!$B:$M,12,0)</f>
        <v>#N/A</v>
      </c>
    </row>
    <row r="40" spans="1:13" x14ac:dyDescent="0.25">
      <c r="A40" s="2">
        <v>32575</v>
      </c>
      <c r="B40" s="3" t="s">
        <v>35</v>
      </c>
      <c r="C40" s="4">
        <v>670</v>
      </c>
      <c r="F40" s="4">
        <v>100</v>
      </c>
      <c r="G40">
        <v>670</v>
      </c>
      <c r="H40" s="11">
        <v>-570</v>
      </c>
      <c r="I40" t="str">
        <f>IFERROR(VLOOKUP(A40,[1]CONTAGEM_DIARIA_JUL25!$B:$M,12,0),"NA")</f>
        <v>NA</v>
      </c>
      <c r="J40">
        <f t="shared" si="1"/>
        <v>670</v>
      </c>
      <c r="K40" t="str">
        <f>IFERROR(VLOOKUP(A40,[2]CONTAGEM_DIARIA_JUL25!$B:$M,12,0),"nao")</f>
        <v>nao</v>
      </c>
      <c r="L40">
        <f t="shared" si="0"/>
        <v>670</v>
      </c>
      <c r="M40" t="e">
        <f>VLOOKUP(A40,[3]CONTAGEM_DIARIA_JUL25!$B:$M,12,0)</f>
        <v>#N/A</v>
      </c>
    </row>
    <row r="41" spans="1:13" x14ac:dyDescent="0.25">
      <c r="A41" s="2">
        <v>38707</v>
      </c>
      <c r="B41" s="3" t="s">
        <v>36</v>
      </c>
      <c r="C41" s="4">
        <v>0</v>
      </c>
      <c r="F41" s="4">
        <v>3</v>
      </c>
      <c r="G41">
        <v>0</v>
      </c>
      <c r="H41" s="11">
        <v>3</v>
      </c>
      <c r="I41" t="str">
        <f>IFERROR(VLOOKUP(A41,[1]CONTAGEM_DIARIA_JUL25!$B:$M,12,0),"NA")</f>
        <v>NA</v>
      </c>
      <c r="J41">
        <f t="shared" si="1"/>
        <v>0</v>
      </c>
      <c r="K41" t="str">
        <f>IFERROR(VLOOKUP(A41,[2]CONTAGEM_DIARIA_JUL25!$B:$M,12,0),"nao")</f>
        <v>nao</v>
      </c>
      <c r="L41">
        <f t="shared" si="0"/>
        <v>0</v>
      </c>
      <c r="M41" t="e">
        <f>VLOOKUP(A41,[3]CONTAGEM_DIARIA_JUL25!$B:$M,12,0)</f>
        <v>#N/A</v>
      </c>
    </row>
    <row r="42" spans="1:13" x14ac:dyDescent="0.25">
      <c r="A42" s="2">
        <v>38686</v>
      </c>
      <c r="B42" s="3" t="s">
        <v>37</v>
      </c>
      <c r="C42" s="4">
        <v>0</v>
      </c>
      <c r="F42" s="4">
        <v>0</v>
      </c>
      <c r="G42">
        <v>0</v>
      </c>
      <c r="H42" s="11">
        <v>0</v>
      </c>
      <c r="I42" t="str">
        <f>IFERROR(VLOOKUP(A42,[1]CONTAGEM_DIARIA_JUL25!$B:$M,12,0),"NA")</f>
        <v>NA</v>
      </c>
      <c r="J42">
        <f t="shared" si="1"/>
        <v>0</v>
      </c>
      <c r="K42" t="str">
        <f>IFERROR(VLOOKUP(A42,[2]CONTAGEM_DIARIA_JUL25!$B:$M,12,0),"nao")</f>
        <v>nao</v>
      </c>
      <c r="L42">
        <f t="shared" si="0"/>
        <v>0</v>
      </c>
      <c r="M42" t="e">
        <f>VLOOKUP(A42,[3]CONTAGEM_DIARIA_JUL25!$B:$M,12,0)</f>
        <v>#N/A</v>
      </c>
    </row>
    <row r="43" spans="1:13" x14ac:dyDescent="0.25">
      <c r="A43" s="2">
        <v>3841</v>
      </c>
      <c r="B43" s="3" t="s">
        <v>38</v>
      </c>
      <c r="C43" s="4">
        <v>435</v>
      </c>
      <c r="F43" s="4">
        <v>520</v>
      </c>
      <c r="G43">
        <v>435</v>
      </c>
      <c r="H43" s="11">
        <v>85</v>
      </c>
      <c r="I43" t="str">
        <f>IFERROR(VLOOKUP(A43,[1]CONTAGEM_DIARIA_JUL25!$B:$M,12,0),"NA")</f>
        <v>NA</v>
      </c>
      <c r="J43">
        <f t="shared" si="1"/>
        <v>435</v>
      </c>
      <c r="K43" t="str">
        <f>IFERROR(VLOOKUP(A43,[2]CONTAGEM_DIARIA_JUL25!$B:$M,12,0),"nao")</f>
        <v>nao</v>
      </c>
      <c r="L43">
        <f t="shared" si="0"/>
        <v>435</v>
      </c>
      <c r="M43" t="e">
        <f>VLOOKUP(A43,[3]CONTAGEM_DIARIA_JUL25!$B:$M,12,0)</f>
        <v>#N/A</v>
      </c>
    </row>
    <row r="44" spans="1:13" x14ac:dyDescent="0.25">
      <c r="A44" s="2">
        <v>25622</v>
      </c>
      <c r="B44" s="3" t="s">
        <v>39</v>
      </c>
      <c r="C44" s="4">
        <v>0.2</v>
      </c>
      <c r="F44" s="4">
        <v>0</v>
      </c>
      <c r="G44">
        <v>0.2</v>
      </c>
      <c r="H44" s="11">
        <v>-0.2</v>
      </c>
      <c r="I44" t="str">
        <f>IFERROR(VLOOKUP(A44,[1]CONTAGEM_DIARIA_JUL25!$B:$M,12,0),"NA")</f>
        <v>NA</v>
      </c>
      <c r="J44">
        <f t="shared" si="1"/>
        <v>0.2</v>
      </c>
      <c r="K44" t="str">
        <f>IFERROR(VLOOKUP(A44,[2]CONTAGEM_DIARIA_JUL25!$B:$M,12,0),"nao")</f>
        <v>nao</v>
      </c>
      <c r="L44">
        <f t="shared" si="0"/>
        <v>0.2</v>
      </c>
      <c r="M44" t="e">
        <f>VLOOKUP(A44,[3]CONTAGEM_DIARIA_JUL25!$B:$M,12,0)</f>
        <v>#N/A</v>
      </c>
    </row>
    <row r="45" spans="1:13" x14ac:dyDescent="0.25">
      <c r="A45" s="2">
        <v>35531</v>
      </c>
      <c r="B45" s="3" t="s">
        <v>40</v>
      </c>
      <c r="C45" s="4">
        <v>3.18</v>
      </c>
      <c r="F45" s="4">
        <v>5.2380000000000004</v>
      </c>
      <c r="G45">
        <v>3.18</v>
      </c>
      <c r="H45" s="11">
        <v>2.0580000000000003</v>
      </c>
      <c r="I45" t="str">
        <f>IFERROR(VLOOKUP(A45,[1]CONTAGEM_DIARIA_JUL25!$B:$M,12,0),"NA")</f>
        <v>NA</v>
      </c>
      <c r="J45">
        <f t="shared" si="1"/>
        <v>3.18</v>
      </c>
      <c r="K45" t="str">
        <f>IFERROR(VLOOKUP(A45,[2]CONTAGEM_DIARIA_JUL25!$B:$M,12,0),"nao")</f>
        <v>nao</v>
      </c>
      <c r="L45">
        <f t="shared" si="0"/>
        <v>3.18</v>
      </c>
      <c r="M45" t="e">
        <f>VLOOKUP(A45,[3]CONTAGEM_DIARIA_JUL25!$B:$M,12,0)</f>
        <v>#N/A</v>
      </c>
    </row>
    <row r="46" spans="1:13" x14ac:dyDescent="0.25">
      <c r="A46" s="2">
        <v>10143</v>
      </c>
      <c r="B46" s="3" t="s">
        <v>41</v>
      </c>
      <c r="C46" s="4">
        <v>0</v>
      </c>
      <c r="F46" s="4">
        <v>0</v>
      </c>
      <c r="G46">
        <v>0</v>
      </c>
      <c r="H46" s="11">
        <v>0</v>
      </c>
      <c r="I46">
        <f>IFERROR(VLOOKUP(A46,[1]CONTAGEM_DIARIA_JUL25!$B:$M,12,0),"NA")</f>
        <v>0</v>
      </c>
      <c r="J46">
        <f t="shared" si="1"/>
        <v>0</v>
      </c>
      <c r="K46">
        <f>IFERROR(VLOOKUP(A46,[2]CONTAGEM_DIARIA_JUL25!$B:$M,12,0),"nao")</f>
        <v>0</v>
      </c>
      <c r="L46">
        <f t="shared" si="0"/>
        <v>0</v>
      </c>
      <c r="M46">
        <f>VLOOKUP(A46,[3]CONTAGEM_DIARIA_JUL25!$B:$M,12,0)</f>
        <v>0</v>
      </c>
    </row>
    <row r="47" spans="1:13" x14ac:dyDescent="0.25">
      <c r="A47" s="2">
        <v>10141</v>
      </c>
      <c r="B47" s="3" t="s">
        <v>42</v>
      </c>
      <c r="C47" s="4">
        <v>0</v>
      </c>
      <c r="F47" s="4">
        <v>0</v>
      </c>
      <c r="G47">
        <v>0</v>
      </c>
      <c r="H47" s="11">
        <v>0</v>
      </c>
      <c r="I47">
        <f>IFERROR(VLOOKUP(A47,[1]CONTAGEM_DIARIA_JUL25!$B:$M,12,0),"NA")</f>
        <v>0</v>
      </c>
      <c r="J47">
        <f t="shared" si="1"/>
        <v>0</v>
      </c>
      <c r="K47">
        <f>IFERROR(VLOOKUP(A47,[2]CONTAGEM_DIARIA_JUL25!$B:$M,12,0),"nao")</f>
        <v>0</v>
      </c>
      <c r="L47">
        <f t="shared" si="0"/>
        <v>0</v>
      </c>
      <c r="M47">
        <f>VLOOKUP(A47,[3]CONTAGEM_DIARIA_JUL25!$B:$M,12,0)</f>
        <v>0</v>
      </c>
    </row>
    <row r="48" spans="1:13" x14ac:dyDescent="0.25">
      <c r="A48" s="2">
        <v>36204</v>
      </c>
      <c r="B48" s="3" t="s">
        <v>43</v>
      </c>
      <c r="C48" s="4">
        <v>12</v>
      </c>
      <c r="F48" s="4">
        <v>0</v>
      </c>
      <c r="G48">
        <v>3</v>
      </c>
      <c r="H48" s="11">
        <v>-3</v>
      </c>
      <c r="I48">
        <f>IFERROR(VLOOKUP(A48,[1]CONTAGEM_DIARIA_JUL25!$B:$M,12,0),"NA")</f>
        <v>204</v>
      </c>
      <c r="J48">
        <f t="shared" si="1"/>
        <v>204</v>
      </c>
      <c r="K48" t="str">
        <f>IFERROR(VLOOKUP(A48,[2]CONTAGEM_DIARIA_JUL25!$B:$M,12,0),"nao")</f>
        <v>nao</v>
      </c>
      <c r="L48">
        <v>0</v>
      </c>
      <c r="M48">
        <f>VLOOKUP(A48,[3]CONTAGEM_DIARIA_JUL25!$B:$M,12,0)</f>
        <v>0</v>
      </c>
    </row>
    <row r="49" spans="1:13" x14ac:dyDescent="0.25">
      <c r="A49" s="7">
        <v>31777</v>
      </c>
      <c r="B49" s="8" t="s">
        <v>43</v>
      </c>
      <c r="C49" s="4">
        <v>12</v>
      </c>
      <c r="F49" s="4">
        <v>0</v>
      </c>
      <c r="G49">
        <v>0</v>
      </c>
      <c r="H49" s="11">
        <v>0</v>
      </c>
      <c r="I49" t="str">
        <f>IFERROR(VLOOKUP(A49,[1]CONTAGEM_DIARIA_JUL25!$B:$M,12,0),"NA")</f>
        <v>NA</v>
      </c>
      <c r="J49">
        <f t="shared" si="1"/>
        <v>12</v>
      </c>
      <c r="K49">
        <f>IFERROR(VLOOKUP(A49,[2]CONTAGEM_DIARIA_JUL25!$B:$M,12,0),"nao")</f>
        <v>12</v>
      </c>
      <c r="L49">
        <f t="shared" si="0"/>
        <v>12</v>
      </c>
      <c r="M49" t="e">
        <f>VLOOKUP(A49,[3]CONTAGEM_DIARIA_JUL25!$B:$M,12,0)</f>
        <v>#N/A</v>
      </c>
    </row>
    <row r="50" spans="1:13" x14ac:dyDescent="0.25">
      <c r="A50" s="2">
        <v>38711</v>
      </c>
      <c r="B50" s="3" t="s">
        <v>44</v>
      </c>
      <c r="C50" s="4">
        <v>0</v>
      </c>
      <c r="F50" s="4">
        <v>0</v>
      </c>
      <c r="G50">
        <v>0</v>
      </c>
      <c r="H50" s="11">
        <v>0</v>
      </c>
      <c r="I50" t="str">
        <f>IFERROR(VLOOKUP(A50,[1]CONTAGEM_DIARIA_JUL25!$B:$M,12,0),"NA")</f>
        <v>NA</v>
      </c>
      <c r="J50">
        <f t="shared" si="1"/>
        <v>0</v>
      </c>
      <c r="K50" t="str">
        <f>IFERROR(VLOOKUP(A50,[2]CONTAGEM_DIARIA_JUL25!$B:$M,12,0),"nao")</f>
        <v>nao</v>
      </c>
      <c r="L50">
        <f t="shared" si="0"/>
        <v>0</v>
      </c>
      <c r="M50" t="e">
        <f>VLOOKUP(A50,[3]CONTAGEM_DIARIA_JUL25!$B:$M,12,0)</f>
        <v>#N/A</v>
      </c>
    </row>
    <row r="51" spans="1:13" x14ac:dyDescent="0.25">
      <c r="A51" s="2">
        <v>36394</v>
      </c>
      <c r="B51" s="3" t="s">
        <v>45</v>
      </c>
      <c r="C51" s="4">
        <v>0</v>
      </c>
      <c r="F51" s="4">
        <v>0</v>
      </c>
      <c r="G51">
        <v>0</v>
      </c>
      <c r="H51" s="11">
        <v>0</v>
      </c>
      <c r="I51" t="str">
        <f>IFERROR(VLOOKUP(A51,[1]CONTAGEM_DIARIA_JUL25!$B:$M,12,0),"NA")</f>
        <v>NA</v>
      </c>
      <c r="J51">
        <f t="shared" si="1"/>
        <v>0</v>
      </c>
      <c r="K51" t="str">
        <f>IFERROR(VLOOKUP(A51,[2]CONTAGEM_DIARIA_JUL25!$B:$M,12,0),"nao")</f>
        <v>nao</v>
      </c>
      <c r="L51">
        <f t="shared" si="0"/>
        <v>0</v>
      </c>
      <c r="M51" t="e">
        <f>VLOOKUP(A51,[3]CONTAGEM_DIARIA_JUL25!$B:$M,12,0)</f>
        <v>#N/A</v>
      </c>
    </row>
    <row r="52" spans="1:13" x14ac:dyDescent="0.25">
      <c r="A52" s="2">
        <v>37801</v>
      </c>
      <c r="B52" s="3" t="s">
        <v>46</v>
      </c>
      <c r="C52" s="4">
        <v>0</v>
      </c>
      <c r="F52" s="4">
        <v>0</v>
      </c>
      <c r="G52">
        <v>0</v>
      </c>
      <c r="H52" s="11">
        <v>0</v>
      </c>
      <c r="I52" t="str">
        <f>IFERROR(VLOOKUP(A52,[1]CONTAGEM_DIARIA_JUL25!$B:$M,12,0),"NA")</f>
        <v>NA</v>
      </c>
      <c r="J52">
        <f t="shared" si="1"/>
        <v>0</v>
      </c>
      <c r="K52" t="str">
        <f>IFERROR(VLOOKUP(A52,[2]CONTAGEM_DIARIA_JUL25!$B:$M,12,0),"nao")</f>
        <v>nao</v>
      </c>
      <c r="L52">
        <f t="shared" si="0"/>
        <v>0</v>
      </c>
      <c r="M52" t="e">
        <f>VLOOKUP(A52,[3]CONTAGEM_DIARIA_JUL25!$B:$M,12,0)</f>
        <v>#N/A</v>
      </c>
    </row>
    <row r="53" spans="1:13" x14ac:dyDescent="0.25">
      <c r="A53" s="2">
        <v>35642</v>
      </c>
      <c r="B53" s="3" t="s">
        <v>47</v>
      </c>
      <c r="C53" s="4">
        <v>2.48</v>
      </c>
      <c r="F53" s="4">
        <v>2.1</v>
      </c>
      <c r="G53">
        <v>2.48</v>
      </c>
      <c r="H53" s="11">
        <v>-0.37999999999999989</v>
      </c>
      <c r="I53" t="str">
        <f>IFERROR(VLOOKUP(A53,[1]CONTAGEM_DIARIA_JUL25!$B:$M,12,0),"NA")</f>
        <v>NA</v>
      </c>
      <c r="J53">
        <f t="shared" si="1"/>
        <v>2.48</v>
      </c>
      <c r="K53" t="str">
        <f>IFERROR(VLOOKUP(A53,[2]CONTAGEM_DIARIA_JUL25!$B:$M,12,0),"nao")</f>
        <v>nao</v>
      </c>
      <c r="L53">
        <f t="shared" si="0"/>
        <v>2.48</v>
      </c>
      <c r="M53" t="e">
        <f>VLOOKUP(A53,[3]CONTAGEM_DIARIA_JUL25!$B:$M,12,0)</f>
        <v>#N/A</v>
      </c>
    </row>
    <row r="54" spans="1:13" x14ac:dyDescent="0.25">
      <c r="A54" s="2">
        <v>25997</v>
      </c>
      <c r="B54" s="3" t="s">
        <v>48</v>
      </c>
      <c r="C54" s="4">
        <v>10</v>
      </c>
      <c r="F54" s="4">
        <v>100</v>
      </c>
      <c r="G54">
        <v>10</v>
      </c>
      <c r="H54" s="11">
        <v>90</v>
      </c>
      <c r="I54" t="str">
        <f>IFERROR(VLOOKUP(A54,[1]CONTAGEM_DIARIA_JUL25!$B:$M,12,0),"NA")</f>
        <v>NA</v>
      </c>
      <c r="J54">
        <f t="shared" si="1"/>
        <v>10</v>
      </c>
      <c r="K54" t="str">
        <f>IFERROR(VLOOKUP(A54,[2]CONTAGEM_DIARIA_JUL25!$B:$M,12,0),"nao")</f>
        <v>nao</v>
      </c>
      <c r="L54">
        <f t="shared" si="0"/>
        <v>10</v>
      </c>
      <c r="M54" t="e">
        <f>VLOOKUP(A54,[3]CONTAGEM_DIARIA_JUL25!$B:$M,12,0)</f>
        <v>#N/A</v>
      </c>
    </row>
    <row r="55" spans="1:13" x14ac:dyDescent="0.25">
      <c r="A55" s="2">
        <v>30482</v>
      </c>
      <c r="B55" s="3" t="s">
        <v>49</v>
      </c>
      <c r="C55" s="4">
        <v>0</v>
      </c>
      <c r="F55" s="4">
        <v>0</v>
      </c>
      <c r="G55">
        <v>0</v>
      </c>
      <c r="H55" s="11">
        <v>0</v>
      </c>
      <c r="I55" t="str">
        <f>IFERROR(VLOOKUP(A55,[1]CONTAGEM_DIARIA_JUL25!$B:$M,12,0),"NA")</f>
        <v>NA</v>
      </c>
      <c r="J55">
        <f t="shared" si="1"/>
        <v>0</v>
      </c>
      <c r="K55" t="str">
        <f>IFERROR(VLOOKUP(A55,[2]CONTAGEM_DIARIA_JUL25!$B:$M,12,0),"nao")</f>
        <v>nao</v>
      </c>
      <c r="L55">
        <f t="shared" si="0"/>
        <v>0</v>
      </c>
      <c r="M55" t="e">
        <f>VLOOKUP(A55,[3]CONTAGEM_DIARIA_JUL25!$B:$M,12,0)</f>
        <v>#N/A</v>
      </c>
    </row>
    <row r="56" spans="1:13" x14ac:dyDescent="0.25">
      <c r="A56" s="2">
        <v>32699</v>
      </c>
      <c r="B56" s="3" t="s">
        <v>50</v>
      </c>
      <c r="C56" s="4">
        <v>938</v>
      </c>
      <c r="F56" s="4">
        <v>800</v>
      </c>
      <c r="G56">
        <v>938</v>
      </c>
      <c r="H56" s="11">
        <v>-138</v>
      </c>
      <c r="I56" t="str">
        <f>IFERROR(VLOOKUP(A56,[1]CONTAGEM_DIARIA_JUL25!$B:$M,12,0),"NA")</f>
        <v>NA</v>
      </c>
      <c r="J56">
        <f t="shared" si="1"/>
        <v>938</v>
      </c>
      <c r="K56" t="str">
        <f>IFERROR(VLOOKUP(A56,[2]CONTAGEM_DIARIA_JUL25!$B:$M,12,0),"nao")</f>
        <v>nao</v>
      </c>
      <c r="L56">
        <f t="shared" si="0"/>
        <v>938</v>
      </c>
      <c r="M56" t="e">
        <f>VLOOKUP(A56,[3]CONTAGEM_DIARIA_JUL25!$B:$M,12,0)</f>
        <v>#N/A</v>
      </c>
    </row>
    <row r="57" spans="1:13" x14ac:dyDescent="0.25">
      <c r="A57" s="2">
        <v>24016</v>
      </c>
      <c r="B57" s="3" t="s">
        <v>51</v>
      </c>
      <c r="C57" s="4">
        <v>538</v>
      </c>
      <c r="F57" s="4">
        <v>300</v>
      </c>
      <c r="G57">
        <v>538</v>
      </c>
      <c r="H57" s="11">
        <v>-238</v>
      </c>
      <c r="I57" t="str">
        <f>IFERROR(VLOOKUP(A57,[1]CONTAGEM_DIARIA_JUL25!$B:$M,12,0),"NA")</f>
        <v>NA</v>
      </c>
      <c r="J57">
        <f t="shared" si="1"/>
        <v>538</v>
      </c>
      <c r="K57" t="str">
        <f>IFERROR(VLOOKUP(A57,[2]CONTAGEM_DIARIA_JUL25!$B:$M,12,0),"nao")</f>
        <v>nao</v>
      </c>
      <c r="L57">
        <f t="shared" si="0"/>
        <v>538</v>
      </c>
      <c r="M57" t="e">
        <f>VLOOKUP(A57,[3]CONTAGEM_DIARIA_JUL25!$B:$M,12,0)</f>
        <v>#N/A</v>
      </c>
    </row>
    <row r="58" spans="1:13" x14ac:dyDescent="0.25">
      <c r="A58" s="2">
        <v>24013</v>
      </c>
      <c r="B58" s="3" t="s">
        <v>52</v>
      </c>
      <c r="C58" s="4">
        <v>0</v>
      </c>
      <c r="F58" s="4">
        <v>0</v>
      </c>
      <c r="G58">
        <v>0</v>
      </c>
      <c r="H58" s="11">
        <v>0</v>
      </c>
      <c r="I58" t="str">
        <f>IFERROR(VLOOKUP(A58,[1]CONTAGEM_DIARIA_JUL25!$B:$M,12,0),"NA")</f>
        <v>NA</v>
      </c>
      <c r="J58">
        <f t="shared" si="1"/>
        <v>0</v>
      </c>
      <c r="K58" t="str">
        <f>IFERROR(VLOOKUP(A58,[2]CONTAGEM_DIARIA_JUL25!$B:$M,12,0),"nao")</f>
        <v>nao</v>
      </c>
      <c r="L58">
        <f t="shared" si="0"/>
        <v>0</v>
      </c>
      <c r="M58" t="e">
        <f>VLOOKUP(A58,[3]CONTAGEM_DIARIA_JUL25!$B:$M,12,0)</f>
        <v>#N/A</v>
      </c>
    </row>
    <row r="59" spans="1:13" x14ac:dyDescent="0.25">
      <c r="A59" s="2">
        <v>35707</v>
      </c>
      <c r="B59" s="3" t="s">
        <v>53</v>
      </c>
      <c r="C59" s="4">
        <v>0</v>
      </c>
      <c r="F59" s="4">
        <v>0</v>
      </c>
      <c r="G59">
        <v>0</v>
      </c>
      <c r="H59" s="11">
        <v>0</v>
      </c>
      <c r="I59" t="str">
        <f>IFERROR(VLOOKUP(A59,[1]CONTAGEM_DIARIA_JUL25!$B:$M,12,0),"NA")</f>
        <v>NA</v>
      </c>
      <c r="J59">
        <f t="shared" si="1"/>
        <v>0</v>
      </c>
      <c r="K59" t="str">
        <f>IFERROR(VLOOKUP(A59,[2]CONTAGEM_DIARIA_JUL25!$B:$M,12,0),"nao")</f>
        <v>nao</v>
      </c>
      <c r="L59">
        <f t="shared" si="0"/>
        <v>0</v>
      </c>
      <c r="M59" t="e">
        <f>VLOOKUP(A59,[3]CONTAGEM_DIARIA_JUL25!$B:$M,12,0)</f>
        <v>#N/A</v>
      </c>
    </row>
    <row r="60" spans="1:13" x14ac:dyDescent="0.25">
      <c r="A60" s="2">
        <v>14321</v>
      </c>
      <c r="B60" s="3" t="s">
        <v>54</v>
      </c>
      <c r="C60" s="4">
        <v>1548</v>
      </c>
      <c r="F60" s="4">
        <v>900</v>
      </c>
      <c r="G60">
        <v>1548</v>
      </c>
      <c r="H60" s="11">
        <v>-648</v>
      </c>
      <c r="I60" t="str">
        <f>IFERROR(VLOOKUP(A60,[1]CONTAGEM_DIARIA_JUL25!$B:$M,12,0),"NA")</f>
        <v>NA</v>
      </c>
      <c r="J60">
        <f t="shared" si="1"/>
        <v>1548</v>
      </c>
      <c r="K60" t="str">
        <f>IFERROR(VLOOKUP(A60,[2]CONTAGEM_DIARIA_JUL25!$B:$M,12,0),"nao")</f>
        <v>nao</v>
      </c>
      <c r="L60">
        <f t="shared" si="0"/>
        <v>1548</v>
      </c>
      <c r="M60" t="e">
        <f>VLOOKUP(A60,[3]CONTAGEM_DIARIA_JUL25!$B:$M,12,0)</f>
        <v>#N/A</v>
      </c>
    </row>
    <row r="61" spans="1:13" x14ac:dyDescent="0.25">
      <c r="A61" s="2">
        <v>32677</v>
      </c>
      <c r="B61" s="3" t="s">
        <v>55</v>
      </c>
      <c r="C61" s="4">
        <v>312</v>
      </c>
      <c r="F61" s="4">
        <v>350</v>
      </c>
      <c r="G61">
        <v>312</v>
      </c>
      <c r="H61" s="11">
        <v>38</v>
      </c>
      <c r="I61" t="str">
        <f>IFERROR(VLOOKUP(A61,[1]CONTAGEM_DIARIA_JUL25!$B:$M,12,0),"NA")</f>
        <v>NA</v>
      </c>
      <c r="J61">
        <f t="shared" si="1"/>
        <v>312</v>
      </c>
      <c r="K61" t="str">
        <f>IFERROR(VLOOKUP(A61,[2]CONTAGEM_DIARIA_JUL25!$B:$M,12,0),"nao")</f>
        <v>nao</v>
      </c>
      <c r="L61">
        <f t="shared" si="0"/>
        <v>312</v>
      </c>
      <c r="M61" t="e">
        <f>VLOOKUP(A61,[3]CONTAGEM_DIARIA_JUL25!$B:$M,12,0)</f>
        <v>#N/A</v>
      </c>
    </row>
    <row r="62" spans="1:13" x14ac:dyDescent="0.25">
      <c r="A62" s="2">
        <v>32678</v>
      </c>
      <c r="B62" s="3" t="s">
        <v>56</v>
      </c>
      <c r="C62" s="4">
        <v>167</v>
      </c>
      <c r="F62" s="4">
        <v>160</v>
      </c>
      <c r="G62">
        <v>167</v>
      </c>
      <c r="H62" s="11">
        <v>-7</v>
      </c>
      <c r="I62" t="str">
        <f>IFERROR(VLOOKUP(A62,[1]CONTAGEM_DIARIA_JUL25!$B:$M,12,0),"NA")</f>
        <v>NA</v>
      </c>
      <c r="J62">
        <f t="shared" si="1"/>
        <v>167</v>
      </c>
      <c r="K62" t="str">
        <f>IFERROR(VLOOKUP(A62,[2]CONTAGEM_DIARIA_JUL25!$B:$M,12,0),"nao")</f>
        <v>nao</v>
      </c>
      <c r="L62">
        <f t="shared" si="0"/>
        <v>167</v>
      </c>
      <c r="M62" t="e">
        <f>VLOOKUP(A62,[3]CONTAGEM_DIARIA_JUL25!$B:$M,12,0)</f>
        <v>#N/A</v>
      </c>
    </row>
    <row r="63" spans="1:13" x14ac:dyDescent="0.25">
      <c r="A63" s="2">
        <v>36073</v>
      </c>
      <c r="B63" s="3" t="s">
        <v>57</v>
      </c>
      <c r="C63" s="4">
        <v>0</v>
      </c>
      <c r="F63" s="4">
        <v>0</v>
      </c>
      <c r="G63">
        <v>0</v>
      </c>
      <c r="H63" s="11">
        <v>0</v>
      </c>
      <c r="I63" t="str">
        <f>IFERROR(VLOOKUP(A63,[1]CONTAGEM_DIARIA_JUL25!$B:$M,12,0),"NA")</f>
        <v>NA</v>
      </c>
      <c r="J63">
        <f t="shared" si="1"/>
        <v>0</v>
      </c>
      <c r="K63" t="str">
        <f>IFERROR(VLOOKUP(A63,[2]CONTAGEM_DIARIA_JUL25!$B:$M,12,0),"nao")</f>
        <v>nao</v>
      </c>
      <c r="L63">
        <f t="shared" si="0"/>
        <v>0</v>
      </c>
      <c r="M63" t="e">
        <f>VLOOKUP(A63,[3]CONTAGEM_DIARIA_JUL25!$B:$M,12,0)</f>
        <v>#N/A</v>
      </c>
    </row>
    <row r="64" spans="1:13" x14ac:dyDescent="0.25">
      <c r="A64" s="2">
        <v>38537</v>
      </c>
      <c r="B64" s="3" t="s">
        <v>58</v>
      </c>
      <c r="C64" s="4">
        <v>0</v>
      </c>
      <c r="F64" s="4">
        <v>0</v>
      </c>
      <c r="G64">
        <v>0</v>
      </c>
      <c r="H64" s="11">
        <v>0</v>
      </c>
      <c r="I64" t="str">
        <f>IFERROR(VLOOKUP(A64,[1]CONTAGEM_DIARIA_JUL25!$B:$M,12,0),"NA")</f>
        <v>NA</v>
      </c>
      <c r="J64">
        <f t="shared" si="1"/>
        <v>0</v>
      </c>
      <c r="K64" t="str">
        <f>IFERROR(VLOOKUP(A64,[2]CONTAGEM_DIARIA_JUL25!$B:$M,12,0),"nao")</f>
        <v>nao</v>
      </c>
      <c r="L64">
        <f t="shared" si="0"/>
        <v>0</v>
      </c>
      <c r="M64" t="e">
        <f>VLOOKUP(A64,[3]CONTAGEM_DIARIA_JUL25!$B:$M,12,0)</f>
        <v>#N/A</v>
      </c>
    </row>
    <row r="65" spans="1:13" x14ac:dyDescent="0.25">
      <c r="A65" s="2">
        <v>31161</v>
      </c>
      <c r="B65" s="3" t="s">
        <v>59</v>
      </c>
      <c r="C65" s="4">
        <v>6.3079999999999998</v>
      </c>
      <c r="F65" s="4">
        <v>1.72</v>
      </c>
      <c r="G65">
        <v>6.3079999999999998</v>
      </c>
      <c r="H65" s="11">
        <v>-4.5880000000000001</v>
      </c>
      <c r="I65" t="str">
        <f>IFERROR(VLOOKUP(A65,[1]CONTAGEM_DIARIA_JUL25!$B:$M,12,0),"NA")</f>
        <v>NA</v>
      </c>
      <c r="J65">
        <f t="shared" si="1"/>
        <v>6.3079999999999998</v>
      </c>
      <c r="K65" t="str">
        <f>IFERROR(VLOOKUP(A65,[2]CONTAGEM_DIARIA_JUL25!$B:$M,12,0),"nao")</f>
        <v>nao</v>
      </c>
      <c r="L65">
        <f t="shared" si="0"/>
        <v>6.3079999999999998</v>
      </c>
      <c r="M65" t="e">
        <f>VLOOKUP(A65,[3]CONTAGEM_DIARIA_JUL25!$B:$M,12,0)</f>
        <v>#N/A</v>
      </c>
    </row>
    <row r="66" spans="1:13" x14ac:dyDescent="0.25">
      <c r="A66" s="2">
        <v>38956</v>
      </c>
      <c r="B66" s="3" t="s">
        <v>60</v>
      </c>
      <c r="C66" s="4">
        <v>3.6120000000000001</v>
      </c>
      <c r="F66" s="4">
        <v>3.73</v>
      </c>
      <c r="G66">
        <v>3.6120000000000001</v>
      </c>
      <c r="H66" s="11">
        <v>0.11799999999999988</v>
      </c>
      <c r="I66" t="str">
        <f>IFERROR(VLOOKUP(A66,[1]CONTAGEM_DIARIA_JUL25!$B:$M,12,0),"NA")</f>
        <v>NA</v>
      </c>
      <c r="J66">
        <f t="shared" si="1"/>
        <v>3.6120000000000001</v>
      </c>
      <c r="K66" t="str">
        <f>IFERROR(VLOOKUP(A66,[2]CONTAGEM_DIARIA_JUL25!$B:$M,12,0),"nao")</f>
        <v>nao</v>
      </c>
      <c r="L66">
        <f t="shared" si="0"/>
        <v>3.6120000000000001</v>
      </c>
      <c r="M66" t="e">
        <f>VLOOKUP(A66,[3]CONTAGEM_DIARIA_JUL25!$B:$M,12,0)</f>
        <v>#N/A</v>
      </c>
    </row>
    <row r="67" spans="1:13" x14ac:dyDescent="0.25">
      <c r="A67" s="2">
        <v>35919</v>
      </c>
      <c r="B67" s="3" t="s">
        <v>61</v>
      </c>
      <c r="C67" s="4">
        <v>12.632</v>
      </c>
      <c r="F67" s="4">
        <v>0</v>
      </c>
      <c r="G67">
        <v>12.632</v>
      </c>
      <c r="H67" s="11">
        <v>-12.632</v>
      </c>
      <c r="I67" t="str">
        <f>IFERROR(VLOOKUP(A67,[1]CONTAGEM_DIARIA_JUL25!$B:$M,12,0),"NA")</f>
        <v>NA</v>
      </c>
      <c r="J67">
        <f t="shared" ref="J67:J130" si="2">IF(I67="NA",C67,I67)</f>
        <v>12.632</v>
      </c>
      <c r="K67" t="str">
        <f>IFERROR(VLOOKUP(A67,[2]CONTAGEM_DIARIA_JUL25!$B:$M,12,0),"nao")</f>
        <v>nao</v>
      </c>
      <c r="L67">
        <f t="shared" ref="L67:L130" si="3">IF(K67="NAO",C67,K67)</f>
        <v>12.632</v>
      </c>
      <c r="M67" t="e">
        <f>VLOOKUP(A67,[3]CONTAGEM_DIARIA_JUL25!$B:$M,12,0)</f>
        <v>#N/A</v>
      </c>
    </row>
    <row r="68" spans="1:13" x14ac:dyDescent="0.25">
      <c r="A68" s="2">
        <v>29750</v>
      </c>
      <c r="B68" s="3" t="s">
        <v>62</v>
      </c>
      <c r="C68" s="4">
        <v>750</v>
      </c>
      <c r="F68" s="4">
        <v>2232</v>
      </c>
      <c r="G68">
        <v>750</v>
      </c>
      <c r="H68" s="11">
        <v>1482</v>
      </c>
      <c r="I68" t="str">
        <f>IFERROR(VLOOKUP(A68,[1]CONTAGEM_DIARIA_JUL25!$B:$M,12,0),"NA")</f>
        <v>NA</v>
      </c>
      <c r="J68">
        <f t="shared" si="2"/>
        <v>750</v>
      </c>
      <c r="K68" t="str">
        <f>IFERROR(VLOOKUP(A68,[2]CONTAGEM_DIARIA_JUL25!$B:$M,12,0),"nao")</f>
        <v>nao</v>
      </c>
      <c r="L68">
        <f t="shared" si="3"/>
        <v>750</v>
      </c>
      <c r="M68" t="e">
        <f>VLOOKUP(A68,[3]CONTAGEM_DIARIA_JUL25!$B:$M,12,0)</f>
        <v>#N/A</v>
      </c>
    </row>
    <row r="69" spans="1:13" x14ac:dyDescent="0.25">
      <c r="A69" s="2">
        <v>22154</v>
      </c>
      <c r="B69" s="3" t="s">
        <v>63</v>
      </c>
      <c r="C69" s="4">
        <v>465</v>
      </c>
      <c r="F69" s="4">
        <v>550</v>
      </c>
      <c r="G69">
        <v>465</v>
      </c>
      <c r="H69" s="11">
        <v>85</v>
      </c>
      <c r="I69" t="str">
        <f>IFERROR(VLOOKUP(A69,[1]CONTAGEM_DIARIA_JUL25!$B:$M,12,0),"NA")</f>
        <v>NA</v>
      </c>
      <c r="J69">
        <f t="shared" si="2"/>
        <v>465</v>
      </c>
      <c r="K69" t="str">
        <f>IFERROR(VLOOKUP(A69,[2]CONTAGEM_DIARIA_JUL25!$B:$M,12,0),"nao")</f>
        <v>nao</v>
      </c>
      <c r="L69">
        <f t="shared" si="3"/>
        <v>465</v>
      </c>
      <c r="M69" t="e">
        <f>VLOOKUP(A69,[3]CONTAGEM_DIARIA_JUL25!$B:$M,12,0)</f>
        <v>#N/A</v>
      </c>
    </row>
    <row r="70" spans="1:13" x14ac:dyDescent="0.25">
      <c r="A70" s="2">
        <v>31196</v>
      </c>
      <c r="B70" s="3" t="s">
        <v>64</v>
      </c>
      <c r="C70" s="4">
        <v>135</v>
      </c>
      <c r="F70" s="4">
        <v>265</v>
      </c>
      <c r="G70">
        <v>135</v>
      </c>
      <c r="H70" s="11">
        <v>130</v>
      </c>
      <c r="I70" t="str">
        <f>IFERROR(VLOOKUP(A70,[1]CONTAGEM_DIARIA_JUL25!$B:$M,12,0),"NA")</f>
        <v>NA</v>
      </c>
      <c r="J70">
        <f t="shared" si="2"/>
        <v>135</v>
      </c>
      <c r="K70" t="str">
        <f>IFERROR(VLOOKUP(A70,[2]CONTAGEM_DIARIA_JUL25!$B:$M,12,0),"nao")</f>
        <v>nao</v>
      </c>
      <c r="L70">
        <f t="shared" si="3"/>
        <v>135</v>
      </c>
      <c r="M70" t="e">
        <f>VLOOKUP(A70,[3]CONTAGEM_DIARIA_JUL25!$B:$M,12,0)</f>
        <v>#N/A</v>
      </c>
    </row>
    <row r="71" spans="1:13" x14ac:dyDescent="0.25">
      <c r="A71" s="2">
        <v>32387</v>
      </c>
      <c r="B71" s="3" t="s">
        <v>65</v>
      </c>
      <c r="C71" s="4">
        <v>1335</v>
      </c>
      <c r="F71" s="4">
        <v>1191</v>
      </c>
      <c r="G71">
        <v>1335</v>
      </c>
      <c r="H71" s="11">
        <v>-144</v>
      </c>
      <c r="I71" t="str">
        <f>IFERROR(VLOOKUP(A71,[1]CONTAGEM_DIARIA_JUL25!$B:$M,12,0),"NA")</f>
        <v>NA</v>
      </c>
      <c r="J71">
        <f t="shared" si="2"/>
        <v>1335</v>
      </c>
      <c r="K71" t="str">
        <f>IFERROR(VLOOKUP(A71,[2]CONTAGEM_DIARIA_JUL25!$B:$M,12,0),"nao")</f>
        <v>nao</v>
      </c>
      <c r="L71">
        <f t="shared" si="3"/>
        <v>1335</v>
      </c>
      <c r="M71" t="e">
        <f>VLOOKUP(A71,[3]CONTAGEM_DIARIA_JUL25!$B:$M,12,0)</f>
        <v>#N/A</v>
      </c>
    </row>
    <row r="72" spans="1:13" x14ac:dyDescent="0.25">
      <c r="A72" s="2">
        <v>35057</v>
      </c>
      <c r="B72" s="3" t="s">
        <v>66</v>
      </c>
      <c r="C72" s="4">
        <v>0</v>
      </c>
      <c r="F72" s="4">
        <v>0</v>
      </c>
      <c r="G72">
        <v>0</v>
      </c>
      <c r="H72" s="11">
        <v>0</v>
      </c>
      <c r="I72" t="str">
        <f>IFERROR(VLOOKUP(A72,[1]CONTAGEM_DIARIA_JUL25!$B:$M,12,0),"NA")</f>
        <v>NA</v>
      </c>
      <c r="J72">
        <f t="shared" si="2"/>
        <v>0</v>
      </c>
      <c r="K72" t="str">
        <f>IFERROR(VLOOKUP(A72,[2]CONTAGEM_DIARIA_JUL25!$B:$M,12,0),"nao")</f>
        <v>nao</v>
      </c>
      <c r="L72">
        <f t="shared" si="3"/>
        <v>0</v>
      </c>
      <c r="M72" t="e">
        <f>VLOOKUP(A72,[3]CONTAGEM_DIARIA_JUL25!$B:$M,12,0)</f>
        <v>#N/A</v>
      </c>
    </row>
    <row r="73" spans="1:13" x14ac:dyDescent="0.25">
      <c r="A73" s="2">
        <v>2250</v>
      </c>
      <c r="B73" s="3" t="s">
        <v>67</v>
      </c>
      <c r="C73" s="4">
        <v>28</v>
      </c>
      <c r="F73" s="4">
        <v>15</v>
      </c>
      <c r="G73">
        <v>28</v>
      </c>
      <c r="H73" s="11">
        <v>-13</v>
      </c>
      <c r="I73" t="str">
        <f>IFERROR(VLOOKUP(A73,[1]CONTAGEM_DIARIA_JUL25!$B:$M,12,0),"NA")</f>
        <v>NA</v>
      </c>
      <c r="J73">
        <f t="shared" si="2"/>
        <v>28</v>
      </c>
      <c r="K73" t="str">
        <f>IFERROR(VLOOKUP(A73,[2]CONTAGEM_DIARIA_JUL25!$B:$M,12,0),"nao")</f>
        <v>nao</v>
      </c>
      <c r="L73">
        <f t="shared" si="3"/>
        <v>28</v>
      </c>
      <c r="M73" t="e">
        <f>VLOOKUP(A73,[3]CONTAGEM_DIARIA_JUL25!$B:$M,12,0)</f>
        <v>#N/A</v>
      </c>
    </row>
    <row r="74" spans="1:13" x14ac:dyDescent="0.25">
      <c r="A74" s="2">
        <v>2243</v>
      </c>
      <c r="B74" s="3" t="s">
        <v>68</v>
      </c>
      <c r="C74" s="4">
        <v>9</v>
      </c>
      <c r="F74" s="4">
        <v>32</v>
      </c>
      <c r="G74">
        <v>9</v>
      </c>
      <c r="H74" s="11">
        <v>23</v>
      </c>
      <c r="I74" t="str">
        <f>IFERROR(VLOOKUP(A74,[1]CONTAGEM_DIARIA_JUL25!$B:$M,12,0),"NA")</f>
        <v>NA</v>
      </c>
      <c r="J74">
        <f t="shared" si="2"/>
        <v>9</v>
      </c>
      <c r="K74" t="str">
        <f>IFERROR(VLOOKUP(A74,[2]CONTAGEM_DIARIA_JUL25!$B:$M,12,0),"nao")</f>
        <v>nao</v>
      </c>
      <c r="L74">
        <f t="shared" si="3"/>
        <v>9</v>
      </c>
      <c r="M74" t="e">
        <f>VLOOKUP(A74,[3]CONTAGEM_DIARIA_JUL25!$B:$M,12,0)</f>
        <v>#N/A</v>
      </c>
    </row>
    <row r="75" spans="1:13" x14ac:dyDescent="0.25">
      <c r="A75" s="2">
        <v>9085</v>
      </c>
      <c r="B75" s="3" t="s">
        <v>69</v>
      </c>
      <c r="C75" s="4">
        <v>12</v>
      </c>
      <c r="F75" s="4">
        <v>36</v>
      </c>
      <c r="G75">
        <v>16</v>
      </c>
      <c r="H75" s="11">
        <v>20</v>
      </c>
      <c r="I75">
        <f>IFERROR(VLOOKUP(A75,[1]CONTAGEM_DIARIA_JUL25!$B:$M,12,0),"NA")</f>
        <v>0</v>
      </c>
      <c r="J75">
        <f t="shared" si="2"/>
        <v>0</v>
      </c>
      <c r="K75">
        <f>IFERROR(VLOOKUP(A75,[2]CONTAGEM_DIARIA_JUL25!$B:$M,12,0),"nao")</f>
        <v>31</v>
      </c>
      <c r="L75">
        <f t="shared" si="3"/>
        <v>31</v>
      </c>
      <c r="M75">
        <f>VLOOKUP(A75,[3]CONTAGEM_DIARIA_JUL25!$B:$M,12,0)</f>
        <v>12</v>
      </c>
    </row>
    <row r="76" spans="1:13" x14ac:dyDescent="0.25">
      <c r="A76" s="2">
        <v>9084</v>
      </c>
      <c r="B76" s="3" t="s">
        <v>70</v>
      </c>
      <c r="C76" s="4">
        <v>28</v>
      </c>
      <c r="F76" s="4">
        <v>0</v>
      </c>
      <c r="G76">
        <v>24</v>
      </c>
      <c r="H76" s="11">
        <v>-24</v>
      </c>
      <c r="I76">
        <f>IFERROR(VLOOKUP(A76,[1]CONTAGEM_DIARIA_JUL25!$B:$M,12,0),"NA")</f>
        <v>0</v>
      </c>
      <c r="J76">
        <f t="shared" si="2"/>
        <v>0</v>
      </c>
      <c r="K76">
        <f>IFERROR(VLOOKUP(A76,[2]CONTAGEM_DIARIA_JUL25!$B:$M,12,0),"nao")</f>
        <v>9</v>
      </c>
      <c r="L76">
        <f t="shared" si="3"/>
        <v>9</v>
      </c>
      <c r="M76">
        <f>VLOOKUP(A76,[3]CONTAGEM_DIARIA_JUL25!$B:$M,12,0)</f>
        <v>28</v>
      </c>
    </row>
    <row r="77" spans="1:13" x14ac:dyDescent="0.25">
      <c r="A77" s="2">
        <v>3043</v>
      </c>
      <c r="B77" s="3" t="s">
        <v>71</v>
      </c>
      <c r="C77" s="4">
        <v>2448</v>
      </c>
      <c r="F77" s="4">
        <v>3880</v>
      </c>
      <c r="G77">
        <v>2448</v>
      </c>
      <c r="H77" s="11">
        <v>1432</v>
      </c>
      <c r="I77" t="str">
        <f>IFERROR(VLOOKUP(A77,[1]CONTAGEM_DIARIA_JUL25!$B:$M,12,0),"NA")</f>
        <v>NA</v>
      </c>
      <c r="J77">
        <f t="shared" si="2"/>
        <v>2448</v>
      </c>
      <c r="K77" t="str">
        <f>IFERROR(VLOOKUP(A77,[2]CONTAGEM_DIARIA_JUL25!$B:$M,12,0),"nao")</f>
        <v>nao</v>
      </c>
      <c r="L77">
        <f t="shared" si="3"/>
        <v>2448</v>
      </c>
      <c r="M77" t="e">
        <f>VLOOKUP(A77,[3]CONTAGEM_DIARIA_JUL25!$B:$M,12,0)</f>
        <v>#N/A</v>
      </c>
    </row>
    <row r="78" spans="1:13" x14ac:dyDescent="0.25">
      <c r="A78" s="2">
        <v>31886</v>
      </c>
      <c r="B78" s="3" t="s">
        <v>72</v>
      </c>
      <c r="C78" s="4">
        <v>0</v>
      </c>
      <c r="F78" s="4">
        <v>0</v>
      </c>
      <c r="G78">
        <v>0</v>
      </c>
      <c r="H78" s="11">
        <v>0</v>
      </c>
      <c r="I78" t="str">
        <f>IFERROR(VLOOKUP(A78,[1]CONTAGEM_DIARIA_JUL25!$B:$M,12,0),"NA")</f>
        <v>NA</v>
      </c>
      <c r="J78">
        <f t="shared" si="2"/>
        <v>0</v>
      </c>
      <c r="K78" t="str">
        <f>IFERROR(VLOOKUP(A78,[2]CONTAGEM_DIARIA_JUL25!$B:$M,12,0),"nao")</f>
        <v>nao</v>
      </c>
      <c r="L78">
        <f t="shared" si="3"/>
        <v>0</v>
      </c>
      <c r="M78" t="e">
        <f>VLOOKUP(A78,[3]CONTAGEM_DIARIA_JUL25!$B:$M,12,0)</f>
        <v>#N/A</v>
      </c>
    </row>
    <row r="79" spans="1:13" x14ac:dyDescent="0.25">
      <c r="A79" s="2">
        <v>9241</v>
      </c>
      <c r="B79" s="3" t="s">
        <v>73</v>
      </c>
      <c r="C79" s="4">
        <v>6200</v>
      </c>
      <c r="F79" s="4">
        <v>8050</v>
      </c>
      <c r="G79">
        <v>6200</v>
      </c>
      <c r="H79" s="11">
        <v>1850</v>
      </c>
      <c r="I79" t="str">
        <f>IFERROR(VLOOKUP(A79,[1]CONTAGEM_DIARIA_JUL25!$B:$M,12,0),"NA")</f>
        <v>NA</v>
      </c>
      <c r="J79">
        <f t="shared" si="2"/>
        <v>6200</v>
      </c>
      <c r="K79" t="str">
        <f>IFERROR(VLOOKUP(A79,[2]CONTAGEM_DIARIA_JUL25!$B:$M,12,0),"nao")</f>
        <v>nao</v>
      </c>
      <c r="L79">
        <f t="shared" si="3"/>
        <v>6200</v>
      </c>
      <c r="M79" t="e">
        <f>VLOOKUP(A79,[3]CONTAGEM_DIARIA_JUL25!$B:$M,12,0)</f>
        <v>#N/A</v>
      </c>
    </row>
    <row r="80" spans="1:13" x14ac:dyDescent="0.25">
      <c r="A80" s="2">
        <v>38178</v>
      </c>
      <c r="B80" s="3" t="s">
        <v>74</v>
      </c>
      <c r="C80" s="4">
        <v>118</v>
      </c>
      <c r="F80" s="4">
        <v>63</v>
      </c>
      <c r="G80">
        <v>43</v>
      </c>
      <c r="H80" s="11">
        <v>20</v>
      </c>
      <c r="I80">
        <f>IFERROR(VLOOKUP(A80,[1]CONTAGEM_DIARIA_JUL25!$B:$M,12,0),"NA")</f>
        <v>0</v>
      </c>
      <c r="J80">
        <f t="shared" si="2"/>
        <v>0</v>
      </c>
      <c r="K80">
        <f>IFERROR(VLOOKUP(A80,[2]CONTAGEM_DIARIA_JUL25!$B:$M,12,0),"nao")</f>
        <v>77</v>
      </c>
      <c r="L80">
        <f t="shared" si="3"/>
        <v>77</v>
      </c>
      <c r="M80">
        <f>VLOOKUP(A80,[3]CONTAGEM_DIARIA_JUL25!$B:$M,12,0)</f>
        <v>118</v>
      </c>
    </row>
    <row r="81" spans="1:13" x14ac:dyDescent="0.25">
      <c r="A81" s="2">
        <v>35365</v>
      </c>
      <c r="B81" s="3" t="s">
        <v>75</v>
      </c>
      <c r="C81" s="4">
        <v>0</v>
      </c>
      <c r="F81" s="4">
        <v>0</v>
      </c>
      <c r="G81">
        <v>0</v>
      </c>
      <c r="H81" s="11">
        <v>0</v>
      </c>
      <c r="I81" t="str">
        <f>IFERROR(VLOOKUP(A81,[1]CONTAGEM_DIARIA_JUL25!$B:$M,12,0),"NA")</f>
        <v>NA</v>
      </c>
      <c r="J81">
        <f t="shared" si="2"/>
        <v>0</v>
      </c>
      <c r="K81" t="str">
        <f>IFERROR(VLOOKUP(A81,[2]CONTAGEM_DIARIA_JUL25!$B:$M,12,0),"nao")</f>
        <v>nao</v>
      </c>
      <c r="L81">
        <f t="shared" si="3"/>
        <v>0</v>
      </c>
      <c r="M81" t="e">
        <f>VLOOKUP(A81,[3]CONTAGEM_DIARIA_JUL25!$B:$M,12,0)</f>
        <v>#N/A</v>
      </c>
    </row>
    <row r="82" spans="1:13" x14ac:dyDescent="0.25">
      <c r="A82" s="2">
        <v>30489</v>
      </c>
      <c r="B82" s="3" t="s">
        <v>76</v>
      </c>
      <c r="C82" s="4">
        <v>12.52</v>
      </c>
      <c r="F82" s="4">
        <v>6.3870000000000005</v>
      </c>
      <c r="G82">
        <v>12.52</v>
      </c>
      <c r="H82" s="11">
        <v>-6.1329999999999991</v>
      </c>
      <c r="I82" t="str">
        <f>IFERROR(VLOOKUP(A82,[1]CONTAGEM_DIARIA_JUL25!$B:$M,12,0),"NA")</f>
        <v>NA</v>
      </c>
      <c r="J82">
        <f t="shared" si="2"/>
        <v>12.52</v>
      </c>
      <c r="K82" t="str">
        <f>IFERROR(VLOOKUP(A82,[2]CONTAGEM_DIARIA_JUL25!$B:$M,12,0),"nao")</f>
        <v>nao</v>
      </c>
      <c r="L82">
        <f t="shared" si="3"/>
        <v>12.52</v>
      </c>
      <c r="M82" t="e">
        <f>VLOOKUP(A82,[3]CONTAGEM_DIARIA_JUL25!$B:$M,12,0)</f>
        <v>#N/A</v>
      </c>
    </row>
    <row r="83" spans="1:13" x14ac:dyDescent="0.25">
      <c r="A83" s="2">
        <v>32388</v>
      </c>
      <c r="B83" s="3" t="s">
        <v>77</v>
      </c>
      <c r="C83" s="4">
        <v>0</v>
      </c>
      <c r="F83" s="4">
        <v>0</v>
      </c>
      <c r="G83">
        <v>0</v>
      </c>
      <c r="H83" s="11">
        <v>0</v>
      </c>
      <c r="I83" t="str">
        <f>IFERROR(VLOOKUP(A83,[1]CONTAGEM_DIARIA_JUL25!$B:$M,12,0),"NA")</f>
        <v>NA</v>
      </c>
      <c r="J83">
        <f t="shared" si="2"/>
        <v>0</v>
      </c>
      <c r="K83" t="str">
        <f>IFERROR(VLOOKUP(A83,[2]CONTAGEM_DIARIA_JUL25!$B:$M,12,0),"nao")</f>
        <v>nao</v>
      </c>
      <c r="L83">
        <f t="shared" si="3"/>
        <v>0</v>
      </c>
      <c r="M83" t="e">
        <f>VLOOKUP(A83,[3]CONTAGEM_DIARIA_JUL25!$B:$M,12,0)</f>
        <v>#N/A</v>
      </c>
    </row>
    <row r="84" spans="1:13" x14ac:dyDescent="0.25">
      <c r="A84" s="2">
        <v>29403</v>
      </c>
      <c r="B84" s="3" t="s">
        <v>78</v>
      </c>
      <c r="C84" s="4">
        <v>0</v>
      </c>
      <c r="F84" s="4">
        <v>2</v>
      </c>
      <c r="G84">
        <v>0</v>
      </c>
      <c r="H84" s="11">
        <v>2</v>
      </c>
      <c r="I84" t="str">
        <f>IFERROR(VLOOKUP(A84,[1]CONTAGEM_DIARIA_JUL25!$B:$M,12,0),"NA")</f>
        <v>NA</v>
      </c>
      <c r="J84">
        <f t="shared" si="2"/>
        <v>0</v>
      </c>
      <c r="K84" t="str">
        <f>IFERROR(VLOOKUP(A84,[2]CONTAGEM_DIARIA_JUL25!$B:$M,12,0),"nao")</f>
        <v>nao</v>
      </c>
      <c r="L84">
        <f t="shared" si="3"/>
        <v>0</v>
      </c>
      <c r="M84" t="e">
        <f>VLOOKUP(A84,[3]CONTAGEM_DIARIA_JUL25!$B:$M,12,0)</f>
        <v>#N/A</v>
      </c>
    </row>
    <row r="85" spans="1:13" x14ac:dyDescent="0.25">
      <c r="A85" s="2">
        <v>36308</v>
      </c>
      <c r="B85" s="3" t="s">
        <v>79</v>
      </c>
      <c r="C85" s="4">
        <v>0</v>
      </c>
      <c r="F85" s="4">
        <v>0</v>
      </c>
      <c r="G85">
        <v>0</v>
      </c>
      <c r="H85" s="11">
        <v>0</v>
      </c>
      <c r="I85" t="str">
        <f>IFERROR(VLOOKUP(A85,[1]CONTAGEM_DIARIA_JUL25!$B:$M,12,0),"NA")</f>
        <v>NA</v>
      </c>
      <c r="J85">
        <f t="shared" si="2"/>
        <v>0</v>
      </c>
      <c r="K85" t="str">
        <f>IFERROR(VLOOKUP(A85,[2]CONTAGEM_DIARIA_JUL25!$B:$M,12,0),"nao")</f>
        <v>nao</v>
      </c>
      <c r="L85">
        <f t="shared" si="3"/>
        <v>0</v>
      </c>
      <c r="M85" t="e">
        <f>VLOOKUP(A85,[3]CONTAGEM_DIARIA_JUL25!$B:$M,12,0)</f>
        <v>#N/A</v>
      </c>
    </row>
    <row r="86" spans="1:13" x14ac:dyDescent="0.25">
      <c r="A86" s="2">
        <v>29004</v>
      </c>
      <c r="B86" s="3" t="s">
        <v>80</v>
      </c>
      <c r="C86" s="4">
        <v>535</v>
      </c>
      <c r="F86" s="4">
        <v>2206</v>
      </c>
      <c r="G86">
        <v>535</v>
      </c>
      <c r="H86" s="11">
        <v>1671</v>
      </c>
      <c r="I86" t="str">
        <f>IFERROR(VLOOKUP(A86,[1]CONTAGEM_DIARIA_JUL25!$B:$M,12,0),"NA")</f>
        <v>NA</v>
      </c>
      <c r="J86">
        <f t="shared" si="2"/>
        <v>535</v>
      </c>
      <c r="K86" t="str">
        <f>IFERROR(VLOOKUP(A86,[2]CONTAGEM_DIARIA_JUL25!$B:$M,12,0),"nao")</f>
        <v>nao</v>
      </c>
      <c r="L86">
        <f t="shared" si="3"/>
        <v>535</v>
      </c>
      <c r="M86" t="e">
        <f>VLOOKUP(A86,[3]CONTAGEM_DIARIA_JUL25!$B:$M,12,0)</f>
        <v>#N/A</v>
      </c>
    </row>
    <row r="87" spans="1:13" x14ac:dyDescent="0.25">
      <c r="A87" s="2">
        <v>29003</v>
      </c>
      <c r="B87" s="3" t="s">
        <v>81</v>
      </c>
      <c r="C87" s="4">
        <v>1000</v>
      </c>
      <c r="F87" s="4">
        <v>3205</v>
      </c>
      <c r="G87">
        <v>1000</v>
      </c>
      <c r="H87" s="11">
        <v>2205</v>
      </c>
      <c r="I87" t="str">
        <f>IFERROR(VLOOKUP(A87,[1]CONTAGEM_DIARIA_JUL25!$B:$M,12,0),"NA")</f>
        <v>NA</v>
      </c>
      <c r="J87">
        <f t="shared" si="2"/>
        <v>1000</v>
      </c>
      <c r="K87" t="str">
        <f>IFERROR(VLOOKUP(A87,[2]CONTAGEM_DIARIA_JUL25!$B:$M,12,0),"nao")</f>
        <v>nao</v>
      </c>
      <c r="L87">
        <f t="shared" si="3"/>
        <v>1000</v>
      </c>
      <c r="M87" t="e">
        <f>VLOOKUP(A87,[3]CONTAGEM_DIARIA_JUL25!$B:$M,12,0)</f>
        <v>#N/A</v>
      </c>
    </row>
    <row r="88" spans="1:13" x14ac:dyDescent="0.25">
      <c r="A88" s="2">
        <v>29001</v>
      </c>
      <c r="B88" s="3" t="s">
        <v>82</v>
      </c>
      <c r="C88" s="4">
        <v>398</v>
      </c>
      <c r="F88" s="4">
        <v>1051</v>
      </c>
      <c r="G88">
        <v>398</v>
      </c>
      <c r="H88" s="11">
        <v>653</v>
      </c>
      <c r="I88" t="str">
        <f>IFERROR(VLOOKUP(A88,[1]CONTAGEM_DIARIA_JUL25!$B:$M,12,0),"NA")</f>
        <v>NA</v>
      </c>
      <c r="J88">
        <f t="shared" si="2"/>
        <v>398</v>
      </c>
      <c r="K88" t="str">
        <f>IFERROR(VLOOKUP(A88,[2]CONTAGEM_DIARIA_JUL25!$B:$M,12,0),"nao")</f>
        <v>nao</v>
      </c>
      <c r="L88">
        <f t="shared" si="3"/>
        <v>398</v>
      </c>
      <c r="M88" t="e">
        <f>VLOOKUP(A88,[3]CONTAGEM_DIARIA_JUL25!$B:$M,12,0)</f>
        <v>#N/A</v>
      </c>
    </row>
    <row r="89" spans="1:13" x14ac:dyDescent="0.25">
      <c r="A89" s="2">
        <v>38726</v>
      </c>
      <c r="B89" s="3" t="s">
        <v>83</v>
      </c>
      <c r="C89" s="4">
        <v>38</v>
      </c>
      <c r="F89" s="4">
        <v>250</v>
      </c>
      <c r="G89">
        <v>38</v>
      </c>
      <c r="H89" s="11">
        <v>212</v>
      </c>
      <c r="I89" t="str">
        <f>IFERROR(VLOOKUP(A89,[1]CONTAGEM_DIARIA_JUL25!$B:$M,12,0),"NA")</f>
        <v>NA</v>
      </c>
      <c r="J89">
        <f t="shared" si="2"/>
        <v>38</v>
      </c>
      <c r="K89" t="str">
        <f>IFERROR(VLOOKUP(A89,[2]CONTAGEM_DIARIA_JUL25!$B:$M,12,0),"nao")</f>
        <v>nao</v>
      </c>
      <c r="L89">
        <f t="shared" si="3"/>
        <v>38</v>
      </c>
      <c r="M89" t="e">
        <f>VLOOKUP(A89,[3]CONTAGEM_DIARIA_JUL25!$B:$M,12,0)</f>
        <v>#N/A</v>
      </c>
    </row>
    <row r="90" spans="1:13" x14ac:dyDescent="0.25">
      <c r="A90" s="2">
        <v>29857</v>
      </c>
      <c r="B90" s="3" t="s">
        <v>84</v>
      </c>
      <c r="C90" s="4">
        <v>242</v>
      </c>
      <c r="F90" s="4">
        <v>275</v>
      </c>
      <c r="G90">
        <v>242</v>
      </c>
      <c r="H90" s="11">
        <v>33</v>
      </c>
      <c r="I90" t="str">
        <f>IFERROR(VLOOKUP(A90,[1]CONTAGEM_DIARIA_JUL25!$B:$M,12,0),"NA")</f>
        <v>NA</v>
      </c>
      <c r="J90">
        <f t="shared" si="2"/>
        <v>242</v>
      </c>
      <c r="K90" t="str">
        <f>IFERROR(VLOOKUP(A90,[2]CONTAGEM_DIARIA_JUL25!$B:$M,12,0),"nao")</f>
        <v>nao</v>
      </c>
      <c r="L90">
        <f t="shared" si="3"/>
        <v>242</v>
      </c>
      <c r="M90" t="e">
        <f>VLOOKUP(A90,[3]CONTAGEM_DIARIA_JUL25!$B:$M,12,0)</f>
        <v>#N/A</v>
      </c>
    </row>
    <row r="91" spans="1:13" x14ac:dyDescent="0.25">
      <c r="A91" s="2">
        <v>28999</v>
      </c>
      <c r="B91" s="3" t="s">
        <v>85</v>
      </c>
      <c r="C91" s="4">
        <v>1048</v>
      </c>
      <c r="F91" s="4">
        <v>1678</v>
      </c>
      <c r="G91">
        <v>1048</v>
      </c>
      <c r="H91" s="11">
        <v>630</v>
      </c>
      <c r="I91" t="str">
        <f>IFERROR(VLOOKUP(A91,[1]CONTAGEM_DIARIA_JUL25!$B:$M,12,0),"NA")</f>
        <v>NA</v>
      </c>
      <c r="J91">
        <f t="shared" si="2"/>
        <v>1048</v>
      </c>
      <c r="K91" t="str">
        <f>IFERROR(VLOOKUP(A91,[2]CONTAGEM_DIARIA_JUL25!$B:$M,12,0),"nao")</f>
        <v>nao</v>
      </c>
      <c r="L91">
        <f t="shared" si="3"/>
        <v>1048</v>
      </c>
      <c r="M91" t="e">
        <f>VLOOKUP(A91,[3]CONTAGEM_DIARIA_JUL25!$B:$M,12,0)</f>
        <v>#N/A</v>
      </c>
    </row>
    <row r="92" spans="1:13" x14ac:dyDescent="0.25">
      <c r="A92" s="2">
        <v>29000</v>
      </c>
      <c r="B92" s="3" t="s">
        <v>86</v>
      </c>
      <c r="C92" s="4">
        <v>1750</v>
      </c>
      <c r="F92" s="4">
        <v>3187</v>
      </c>
      <c r="G92">
        <v>1750</v>
      </c>
      <c r="H92" s="11">
        <v>1437</v>
      </c>
      <c r="I92" t="str">
        <f>IFERROR(VLOOKUP(A92,[1]CONTAGEM_DIARIA_JUL25!$B:$M,12,0),"NA")</f>
        <v>NA</v>
      </c>
      <c r="J92">
        <f t="shared" si="2"/>
        <v>1750</v>
      </c>
      <c r="K92" t="str">
        <f>IFERROR(VLOOKUP(A92,[2]CONTAGEM_DIARIA_JUL25!$B:$M,12,0),"nao")</f>
        <v>nao</v>
      </c>
      <c r="L92">
        <f t="shared" si="3"/>
        <v>1750</v>
      </c>
      <c r="M92" t="e">
        <f>VLOOKUP(A92,[3]CONTAGEM_DIARIA_JUL25!$B:$M,12,0)</f>
        <v>#N/A</v>
      </c>
    </row>
    <row r="93" spans="1:13" x14ac:dyDescent="0.25">
      <c r="A93" s="2">
        <v>29002</v>
      </c>
      <c r="B93" s="3" t="s">
        <v>87</v>
      </c>
      <c r="C93" s="4">
        <v>632</v>
      </c>
      <c r="F93" s="4">
        <v>3102</v>
      </c>
      <c r="G93">
        <v>632</v>
      </c>
      <c r="H93" s="11">
        <v>2470</v>
      </c>
      <c r="I93" t="str">
        <f>IFERROR(VLOOKUP(A93,[1]CONTAGEM_DIARIA_JUL25!$B:$M,12,0),"NA")</f>
        <v>NA</v>
      </c>
      <c r="J93">
        <f t="shared" si="2"/>
        <v>632</v>
      </c>
      <c r="K93" t="str">
        <f>IFERROR(VLOOKUP(A93,[2]CONTAGEM_DIARIA_JUL25!$B:$M,12,0),"nao")</f>
        <v>nao</v>
      </c>
      <c r="L93">
        <f t="shared" si="3"/>
        <v>632</v>
      </c>
      <c r="M93" t="e">
        <f>VLOOKUP(A93,[3]CONTAGEM_DIARIA_JUL25!$B:$M,12,0)</f>
        <v>#N/A</v>
      </c>
    </row>
    <row r="94" spans="1:13" x14ac:dyDescent="0.25">
      <c r="A94" s="2">
        <v>34607</v>
      </c>
      <c r="B94" s="3" t="s">
        <v>88</v>
      </c>
      <c r="C94" s="4">
        <v>10</v>
      </c>
      <c r="F94" s="4">
        <v>0</v>
      </c>
      <c r="G94">
        <v>10</v>
      </c>
      <c r="H94" s="11">
        <v>-10</v>
      </c>
      <c r="I94" t="str">
        <f>IFERROR(VLOOKUP(A94,[1]CONTAGEM_DIARIA_JUL25!$B:$M,12,0),"NA")</f>
        <v>NA</v>
      </c>
      <c r="J94">
        <f t="shared" si="2"/>
        <v>10</v>
      </c>
      <c r="K94" t="str">
        <f>IFERROR(VLOOKUP(A94,[2]CONTAGEM_DIARIA_JUL25!$B:$M,12,0),"nao")</f>
        <v>nao</v>
      </c>
      <c r="L94">
        <f t="shared" si="3"/>
        <v>10</v>
      </c>
      <c r="M94" t="e">
        <f>VLOOKUP(A94,[3]CONTAGEM_DIARIA_JUL25!$B:$M,12,0)</f>
        <v>#N/A</v>
      </c>
    </row>
    <row r="95" spans="1:13" x14ac:dyDescent="0.25">
      <c r="A95" s="2">
        <v>39142</v>
      </c>
      <c r="B95" s="3" t="s">
        <v>89</v>
      </c>
      <c r="C95" s="4">
        <v>1.1499999999999999</v>
      </c>
      <c r="F95" s="4">
        <v>2.605</v>
      </c>
      <c r="G95">
        <v>2.4019999999999997</v>
      </c>
      <c r="H95" s="11">
        <v>0.20300000000000029</v>
      </c>
      <c r="I95">
        <f>IFERROR(VLOOKUP(A95,[1]CONTAGEM_DIARIA_JUL25!$B:$M,12,0),"NA")</f>
        <v>1.7249999999999999</v>
      </c>
      <c r="J95">
        <f t="shared" si="2"/>
        <v>1.7249999999999999</v>
      </c>
      <c r="K95">
        <f>IFERROR(VLOOKUP(A95,[2]CONTAGEM_DIARIA_JUL25!$B:$M,12,0),"nao")</f>
        <v>1.7249999999999999</v>
      </c>
      <c r="L95">
        <f t="shared" si="3"/>
        <v>1.7249999999999999</v>
      </c>
      <c r="M95">
        <f>VLOOKUP(A95,[3]CONTAGEM_DIARIA_JUL25!$B:$M,12,0)</f>
        <v>1.1499999999999999</v>
      </c>
    </row>
    <row r="96" spans="1:13" x14ac:dyDescent="0.25">
      <c r="A96" s="2">
        <v>32374</v>
      </c>
      <c r="B96" s="3" t="s">
        <v>90</v>
      </c>
      <c r="C96" s="4">
        <v>16.2</v>
      </c>
      <c r="F96" s="4">
        <v>30.1206</v>
      </c>
      <c r="G96">
        <v>16.2</v>
      </c>
      <c r="H96" s="11">
        <v>13.9206</v>
      </c>
      <c r="I96" t="str">
        <f>IFERROR(VLOOKUP(A96,[1]CONTAGEM_DIARIA_JUL25!$B:$M,12,0),"NA")</f>
        <v>NA</v>
      </c>
      <c r="J96">
        <f t="shared" si="2"/>
        <v>16.2</v>
      </c>
      <c r="K96" t="str">
        <f>IFERROR(VLOOKUP(A96,[2]CONTAGEM_DIARIA_JUL25!$B:$M,12,0),"nao")</f>
        <v>nao</v>
      </c>
      <c r="L96">
        <f t="shared" si="3"/>
        <v>16.2</v>
      </c>
      <c r="M96" t="e">
        <f>VLOOKUP(A96,[3]CONTAGEM_DIARIA_JUL25!$B:$M,12,0)</f>
        <v>#N/A</v>
      </c>
    </row>
    <row r="97" spans="1:13" x14ac:dyDescent="0.25">
      <c r="A97" s="2">
        <v>37709</v>
      </c>
      <c r="B97" s="3" t="s">
        <v>91</v>
      </c>
      <c r="C97" s="4">
        <v>0</v>
      </c>
      <c r="F97" s="4">
        <v>167</v>
      </c>
      <c r="G97">
        <v>0</v>
      </c>
      <c r="H97" s="11">
        <v>167</v>
      </c>
      <c r="I97" t="str">
        <f>IFERROR(VLOOKUP(A97,[1]CONTAGEM_DIARIA_JUL25!$B:$M,12,0),"NA")</f>
        <v>NA</v>
      </c>
      <c r="J97">
        <f t="shared" si="2"/>
        <v>0</v>
      </c>
      <c r="K97" t="str">
        <f>IFERROR(VLOOKUP(A97,[2]CONTAGEM_DIARIA_JUL25!$B:$M,12,0),"nao")</f>
        <v>nao</v>
      </c>
      <c r="L97">
        <f t="shared" si="3"/>
        <v>0</v>
      </c>
      <c r="M97" t="e">
        <f>VLOOKUP(A97,[3]CONTAGEM_DIARIA_JUL25!$B:$M,12,0)</f>
        <v>#N/A</v>
      </c>
    </row>
    <row r="98" spans="1:13" x14ac:dyDescent="0.25">
      <c r="A98" s="2">
        <v>35205</v>
      </c>
      <c r="B98" s="3" t="s">
        <v>92</v>
      </c>
      <c r="C98" s="4">
        <v>0</v>
      </c>
      <c r="F98" s="4">
        <v>0</v>
      </c>
      <c r="G98">
        <v>0</v>
      </c>
      <c r="H98" s="11">
        <v>0</v>
      </c>
      <c r="I98" t="str">
        <f>IFERROR(VLOOKUP(A98,[1]CONTAGEM_DIARIA_JUL25!$B:$M,12,0),"NA")</f>
        <v>NA</v>
      </c>
      <c r="J98">
        <f t="shared" si="2"/>
        <v>0</v>
      </c>
      <c r="K98" t="str">
        <f>IFERROR(VLOOKUP(A98,[2]CONTAGEM_DIARIA_JUL25!$B:$M,12,0),"nao")</f>
        <v>nao</v>
      </c>
      <c r="L98">
        <f t="shared" si="3"/>
        <v>0</v>
      </c>
      <c r="M98" t="e">
        <f>VLOOKUP(A98,[3]CONTAGEM_DIARIA_JUL25!$B:$M,12,0)</f>
        <v>#N/A</v>
      </c>
    </row>
    <row r="99" spans="1:13" x14ac:dyDescent="0.25">
      <c r="A99" s="2">
        <v>35740</v>
      </c>
      <c r="B99" s="3" t="s">
        <v>93</v>
      </c>
      <c r="C99" s="4">
        <v>230</v>
      </c>
      <c r="F99" s="4">
        <v>70</v>
      </c>
      <c r="G99">
        <v>230</v>
      </c>
      <c r="H99" s="11">
        <v>-160</v>
      </c>
      <c r="I99" t="str">
        <f>IFERROR(VLOOKUP(A99,[1]CONTAGEM_DIARIA_JUL25!$B:$M,12,0),"NA")</f>
        <v>NA</v>
      </c>
      <c r="J99">
        <f t="shared" si="2"/>
        <v>230</v>
      </c>
      <c r="K99" t="str">
        <f>IFERROR(VLOOKUP(A99,[2]CONTAGEM_DIARIA_JUL25!$B:$M,12,0),"nao")</f>
        <v>nao</v>
      </c>
      <c r="L99">
        <f t="shared" si="3"/>
        <v>230</v>
      </c>
      <c r="M99" t="e">
        <f>VLOOKUP(A99,[3]CONTAGEM_DIARIA_JUL25!$B:$M,12,0)</f>
        <v>#N/A</v>
      </c>
    </row>
    <row r="100" spans="1:13" x14ac:dyDescent="0.25">
      <c r="A100" s="2">
        <v>38474</v>
      </c>
      <c r="B100" s="3" t="s">
        <v>94</v>
      </c>
      <c r="C100" s="4">
        <v>0</v>
      </c>
      <c r="F100" s="4">
        <v>0</v>
      </c>
      <c r="G100">
        <v>0</v>
      </c>
      <c r="H100" s="11">
        <v>0</v>
      </c>
      <c r="I100" t="str">
        <f>IFERROR(VLOOKUP(A100,[1]CONTAGEM_DIARIA_JUL25!$B:$M,12,0),"NA")</f>
        <v>NA</v>
      </c>
      <c r="J100">
        <f t="shared" si="2"/>
        <v>0</v>
      </c>
      <c r="K100" t="str">
        <f>IFERROR(VLOOKUP(A100,[2]CONTAGEM_DIARIA_JUL25!$B:$M,12,0),"nao")</f>
        <v>nao</v>
      </c>
      <c r="L100">
        <f t="shared" si="3"/>
        <v>0</v>
      </c>
      <c r="M100" t="e">
        <f>VLOOKUP(A100,[3]CONTAGEM_DIARIA_JUL25!$B:$M,12,0)</f>
        <v>#N/A</v>
      </c>
    </row>
    <row r="101" spans="1:13" x14ac:dyDescent="0.25">
      <c r="A101" s="2">
        <v>38678</v>
      </c>
      <c r="B101" s="3" t="s">
        <v>95</v>
      </c>
      <c r="C101" s="4">
        <v>0</v>
      </c>
      <c r="F101" s="4">
        <v>0</v>
      </c>
      <c r="G101">
        <v>0</v>
      </c>
      <c r="H101" s="11">
        <v>0</v>
      </c>
      <c r="I101" t="str">
        <f>IFERROR(VLOOKUP(A101,[1]CONTAGEM_DIARIA_JUL25!$B:$M,12,0),"NA")</f>
        <v>NA</v>
      </c>
      <c r="J101">
        <f t="shared" si="2"/>
        <v>0</v>
      </c>
      <c r="K101" t="str">
        <f>IFERROR(VLOOKUP(A101,[2]CONTAGEM_DIARIA_JUL25!$B:$M,12,0),"nao")</f>
        <v>nao</v>
      </c>
      <c r="L101">
        <f t="shared" si="3"/>
        <v>0</v>
      </c>
      <c r="M101" t="e">
        <f>VLOOKUP(A101,[3]CONTAGEM_DIARIA_JUL25!$B:$M,12,0)</f>
        <v>#N/A</v>
      </c>
    </row>
    <row r="102" spans="1:13" x14ac:dyDescent="0.25">
      <c r="A102" s="2">
        <v>35708</v>
      </c>
      <c r="B102" s="3" t="s">
        <v>96</v>
      </c>
      <c r="C102" s="4">
        <v>12.228</v>
      </c>
      <c r="F102" s="4">
        <v>0.62</v>
      </c>
      <c r="G102">
        <v>12.228</v>
      </c>
      <c r="H102" s="11">
        <v>-11.608000000000001</v>
      </c>
      <c r="I102" t="str">
        <f>IFERROR(VLOOKUP(A102,[1]CONTAGEM_DIARIA_JUL25!$B:$M,12,0),"NA")</f>
        <v>NA</v>
      </c>
      <c r="J102">
        <f t="shared" si="2"/>
        <v>12.228</v>
      </c>
      <c r="K102" t="str">
        <f>IFERROR(VLOOKUP(A102,[2]CONTAGEM_DIARIA_JUL25!$B:$M,12,0),"nao")</f>
        <v>nao</v>
      </c>
      <c r="L102">
        <f t="shared" si="3"/>
        <v>12.228</v>
      </c>
      <c r="M102" t="e">
        <f>VLOOKUP(A102,[3]CONTAGEM_DIARIA_JUL25!$B:$M,12,0)</f>
        <v>#N/A</v>
      </c>
    </row>
    <row r="103" spans="1:13" x14ac:dyDescent="0.25">
      <c r="A103" s="2">
        <v>36083</v>
      </c>
      <c r="B103" s="3" t="s">
        <v>97</v>
      </c>
      <c r="C103" s="4">
        <v>9.2949999999999999</v>
      </c>
      <c r="F103" s="4">
        <v>5.7379999999999995</v>
      </c>
      <c r="G103">
        <v>9.2949999999999999</v>
      </c>
      <c r="H103" s="11">
        <v>-3.5570000000000004</v>
      </c>
      <c r="I103" t="str">
        <f>IFERROR(VLOOKUP(A103,[1]CONTAGEM_DIARIA_JUL25!$B:$M,12,0),"NA")</f>
        <v>NA</v>
      </c>
      <c r="J103">
        <f t="shared" si="2"/>
        <v>9.2949999999999999</v>
      </c>
      <c r="K103" t="str">
        <f>IFERROR(VLOOKUP(A103,[2]CONTAGEM_DIARIA_JUL25!$B:$M,12,0),"nao")</f>
        <v>nao</v>
      </c>
      <c r="L103">
        <f t="shared" si="3"/>
        <v>9.2949999999999999</v>
      </c>
      <c r="M103" t="e">
        <f>VLOOKUP(A103,[3]CONTAGEM_DIARIA_JUL25!$B:$M,12,0)</f>
        <v>#N/A</v>
      </c>
    </row>
    <row r="104" spans="1:13" x14ac:dyDescent="0.25">
      <c r="A104" s="2">
        <v>36084</v>
      </c>
      <c r="B104" s="3" t="s">
        <v>98</v>
      </c>
      <c r="C104" s="4">
        <v>80</v>
      </c>
      <c r="F104" s="4">
        <v>78</v>
      </c>
      <c r="G104">
        <v>80</v>
      </c>
      <c r="H104" s="11">
        <v>-2</v>
      </c>
      <c r="I104" t="str">
        <f>IFERROR(VLOOKUP(A104,[1]CONTAGEM_DIARIA_JUL25!$B:$M,12,0),"NA")</f>
        <v>NA</v>
      </c>
      <c r="J104">
        <f t="shared" si="2"/>
        <v>80</v>
      </c>
      <c r="K104" t="str">
        <f>IFERROR(VLOOKUP(A104,[2]CONTAGEM_DIARIA_JUL25!$B:$M,12,0),"nao")</f>
        <v>nao</v>
      </c>
      <c r="L104">
        <f t="shared" si="3"/>
        <v>80</v>
      </c>
      <c r="M104" t="e">
        <f>VLOOKUP(A104,[3]CONTAGEM_DIARIA_JUL25!$B:$M,12,0)</f>
        <v>#N/A</v>
      </c>
    </row>
    <row r="105" spans="1:13" x14ac:dyDescent="0.25">
      <c r="A105" s="2">
        <v>34862</v>
      </c>
      <c r="B105" s="3" t="s">
        <v>99</v>
      </c>
      <c r="C105" s="4">
        <v>98</v>
      </c>
      <c r="F105" s="4">
        <v>115</v>
      </c>
      <c r="G105">
        <v>98</v>
      </c>
      <c r="H105" s="11">
        <v>17</v>
      </c>
      <c r="I105" t="str">
        <f>IFERROR(VLOOKUP(A105,[1]CONTAGEM_DIARIA_JUL25!$B:$M,12,0),"NA")</f>
        <v>NA</v>
      </c>
      <c r="J105">
        <f t="shared" si="2"/>
        <v>98</v>
      </c>
      <c r="K105" t="str">
        <f>IFERROR(VLOOKUP(A105,[2]CONTAGEM_DIARIA_JUL25!$B:$M,12,0),"nao")</f>
        <v>nao</v>
      </c>
      <c r="L105">
        <f t="shared" si="3"/>
        <v>98</v>
      </c>
      <c r="M105" t="e">
        <f>VLOOKUP(A105,[3]CONTAGEM_DIARIA_JUL25!$B:$M,12,0)</f>
        <v>#N/A</v>
      </c>
    </row>
    <row r="106" spans="1:13" x14ac:dyDescent="0.25">
      <c r="A106" s="2">
        <v>38460</v>
      </c>
      <c r="B106" s="3" t="s">
        <v>100</v>
      </c>
      <c r="C106" s="4">
        <v>0</v>
      </c>
      <c r="F106" s="4">
        <v>0</v>
      </c>
      <c r="G106">
        <v>0</v>
      </c>
      <c r="H106" s="11">
        <v>0</v>
      </c>
      <c r="I106" t="str">
        <f>IFERROR(VLOOKUP(A106,[1]CONTAGEM_DIARIA_JUL25!$B:$M,12,0),"NA")</f>
        <v>NA</v>
      </c>
      <c r="J106">
        <f t="shared" si="2"/>
        <v>0</v>
      </c>
      <c r="K106" t="str">
        <f>IFERROR(VLOOKUP(A106,[2]CONTAGEM_DIARIA_JUL25!$B:$M,12,0),"nao")</f>
        <v>nao</v>
      </c>
      <c r="L106">
        <f t="shared" si="3"/>
        <v>0</v>
      </c>
      <c r="M106" t="e">
        <f>VLOOKUP(A106,[3]CONTAGEM_DIARIA_JUL25!$B:$M,12,0)</f>
        <v>#N/A</v>
      </c>
    </row>
    <row r="107" spans="1:13" x14ac:dyDescent="0.25">
      <c r="A107" s="2">
        <v>34638</v>
      </c>
      <c r="B107" s="3" t="s">
        <v>101</v>
      </c>
      <c r="C107" s="4">
        <v>0.32500000000000001</v>
      </c>
      <c r="F107" s="4">
        <v>3.5380000000000003</v>
      </c>
      <c r="G107">
        <v>0.32500000000000001</v>
      </c>
      <c r="H107" s="11">
        <v>3.2130000000000001</v>
      </c>
      <c r="I107" t="str">
        <f>IFERROR(VLOOKUP(A107,[1]CONTAGEM_DIARIA_JUL25!$B:$M,12,0),"NA")</f>
        <v>NA</v>
      </c>
      <c r="J107">
        <f t="shared" si="2"/>
        <v>0.32500000000000001</v>
      </c>
      <c r="K107" t="str">
        <f>IFERROR(VLOOKUP(A107,[2]CONTAGEM_DIARIA_JUL25!$B:$M,12,0),"nao")</f>
        <v>nao</v>
      </c>
      <c r="L107">
        <f t="shared" si="3"/>
        <v>0.32500000000000001</v>
      </c>
      <c r="M107" t="e">
        <f>VLOOKUP(A107,[3]CONTAGEM_DIARIA_JUL25!$B:$M,12,0)</f>
        <v>#N/A</v>
      </c>
    </row>
    <row r="108" spans="1:13" x14ac:dyDescent="0.25">
      <c r="A108" s="2">
        <v>39190</v>
      </c>
      <c r="B108" s="3" t="s">
        <v>102</v>
      </c>
      <c r="C108" s="4">
        <v>0</v>
      </c>
      <c r="F108" s="4">
        <v>0</v>
      </c>
      <c r="G108">
        <v>0</v>
      </c>
      <c r="H108" s="11">
        <v>0</v>
      </c>
      <c r="I108" t="str">
        <f>IFERROR(VLOOKUP(A108,[1]CONTAGEM_DIARIA_JUL25!$B:$M,12,0),"NA")</f>
        <v>NA</v>
      </c>
      <c r="J108">
        <f t="shared" si="2"/>
        <v>0</v>
      </c>
      <c r="K108" t="str">
        <f>IFERROR(VLOOKUP(A108,[2]CONTAGEM_DIARIA_JUL25!$B:$M,12,0),"nao")</f>
        <v>nao</v>
      </c>
      <c r="L108">
        <f t="shared" si="3"/>
        <v>0</v>
      </c>
      <c r="M108" t="e">
        <f>VLOOKUP(A108,[3]CONTAGEM_DIARIA_JUL25!$B:$M,12,0)</f>
        <v>#N/A</v>
      </c>
    </row>
    <row r="109" spans="1:13" x14ac:dyDescent="0.25">
      <c r="A109" s="2">
        <v>35562</v>
      </c>
      <c r="B109" s="3" t="s">
        <v>103</v>
      </c>
      <c r="C109" s="4">
        <v>0.745</v>
      </c>
      <c r="F109" s="4">
        <v>10.494999999999999</v>
      </c>
      <c r="G109">
        <v>0.745</v>
      </c>
      <c r="H109" s="11">
        <v>9.75</v>
      </c>
      <c r="I109" t="str">
        <f>IFERROR(VLOOKUP(A109,[1]CONTAGEM_DIARIA_JUL25!$B:$M,12,0),"NA")</f>
        <v>NA</v>
      </c>
      <c r="J109">
        <f t="shared" si="2"/>
        <v>0.745</v>
      </c>
      <c r="K109" t="str">
        <f>IFERROR(VLOOKUP(A109,[2]CONTAGEM_DIARIA_JUL25!$B:$M,12,0),"nao")</f>
        <v>nao</v>
      </c>
      <c r="L109">
        <f t="shared" si="3"/>
        <v>0.745</v>
      </c>
      <c r="M109" t="e">
        <f>VLOOKUP(A109,[3]CONTAGEM_DIARIA_JUL25!$B:$M,12,0)</f>
        <v>#N/A</v>
      </c>
    </row>
    <row r="110" spans="1:13" x14ac:dyDescent="0.25">
      <c r="A110" s="2">
        <v>38995</v>
      </c>
      <c r="B110" s="3" t="s">
        <v>104</v>
      </c>
      <c r="C110" s="4">
        <v>0</v>
      </c>
      <c r="F110" s="4">
        <v>0</v>
      </c>
      <c r="G110">
        <v>0</v>
      </c>
      <c r="H110" s="11">
        <v>0</v>
      </c>
      <c r="I110" t="str">
        <f>IFERROR(VLOOKUP(A110,[1]CONTAGEM_DIARIA_JUL25!$B:$M,12,0),"NA")</f>
        <v>NA</v>
      </c>
      <c r="J110">
        <f t="shared" si="2"/>
        <v>0</v>
      </c>
      <c r="K110" t="str">
        <f>IFERROR(VLOOKUP(A110,[2]CONTAGEM_DIARIA_JUL25!$B:$M,12,0),"nao")</f>
        <v>nao</v>
      </c>
      <c r="L110">
        <f t="shared" si="3"/>
        <v>0</v>
      </c>
      <c r="M110" t="e">
        <f>VLOOKUP(A110,[3]CONTAGEM_DIARIA_JUL25!$B:$M,12,0)</f>
        <v>#N/A</v>
      </c>
    </row>
    <row r="111" spans="1:13" x14ac:dyDescent="0.25">
      <c r="A111" s="2">
        <v>21288</v>
      </c>
      <c r="B111" s="3" t="s">
        <v>105</v>
      </c>
      <c r="C111" s="4">
        <v>21.05</v>
      </c>
      <c r="F111" s="4">
        <v>12.525000000000002</v>
      </c>
      <c r="G111">
        <v>21.05</v>
      </c>
      <c r="H111" s="11">
        <v>-8.5249999999999986</v>
      </c>
      <c r="I111" t="str">
        <f>IFERROR(VLOOKUP(A111,[1]CONTAGEM_DIARIA_JUL25!$B:$M,12,0),"NA")</f>
        <v>NA</v>
      </c>
      <c r="J111">
        <f t="shared" si="2"/>
        <v>21.05</v>
      </c>
      <c r="K111" t="str">
        <f>IFERROR(VLOOKUP(A111,[2]CONTAGEM_DIARIA_JUL25!$B:$M,12,0),"nao")</f>
        <v>nao</v>
      </c>
      <c r="L111">
        <f t="shared" si="3"/>
        <v>21.05</v>
      </c>
      <c r="M111" t="e">
        <f>VLOOKUP(A111,[3]CONTAGEM_DIARIA_JUL25!$B:$M,12,0)</f>
        <v>#N/A</v>
      </c>
    </row>
    <row r="112" spans="1:13" x14ac:dyDescent="0.25">
      <c r="A112" s="2">
        <v>35407</v>
      </c>
      <c r="B112" s="3" t="s">
        <v>106</v>
      </c>
      <c r="C112" s="4">
        <v>2.2869999999999999</v>
      </c>
      <c r="F112" s="4">
        <v>6.2750000000000004</v>
      </c>
      <c r="G112">
        <v>2.2869999999999999</v>
      </c>
      <c r="H112" s="11">
        <v>3.9880000000000004</v>
      </c>
      <c r="I112" t="str">
        <f>IFERROR(VLOOKUP(A112,[1]CONTAGEM_DIARIA_JUL25!$B:$M,12,0),"NA")</f>
        <v>NA</v>
      </c>
      <c r="J112">
        <f t="shared" si="2"/>
        <v>2.2869999999999999</v>
      </c>
      <c r="K112" t="str">
        <f>IFERROR(VLOOKUP(A112,[2]CONTAGEM_DIARIA_JUL25!$B:$M,12,0),"nao")</f>
        <v>nao</v>
      </c>
      <c r="L112">
        <f t="shared" si="3"/>
        <v>2.2869999999999999</v>
      </c>
      <c r="M112" t="e">
        <f>VLOOKUP(A112,[3]CONTAGEM_DIARIA_JUL25!$B:$M,12,0)</f>
        <v>#N/A</v>
      </c>
    </row>
    <row r="113" spans="1:13" x14ac:dyDescent="0.25">
      <c r="A113" s="2">
        <v>35408</v>
      </c>
      <c r="B113" s="3" t="s">
        <v>107</v>
      </c>
      <c r="C113" s="4">
        <v>3184</v>
      </c>
      <c r="F113" s="4">
        <v>4471</v>
      </c>
      <c r="G113">
        <v>3184</v>
      </c>
      <c r="H113" s="11">
        <v>1287</v>
      </c>
      <c r="I113" t="str">
        <f>IFERROR(VLOOKUP(A113,[1]CONTAGEM_DIARIA_JUL25!$B:$M,12,0),"NA")</f>
        <v>NA</v>
      </c>
      <c r="J113">
        <f t="shared" si="2"/>
        <v>3184</v>
      </c>
      <c r="K113" t="str">
        <f>IFERROR(VLOOKUP(A113,[2]CONTAGEM_DIARIA_JUL25!$B:$M,12,0),"nao")</f>
        <v>nao</v>
      </c>
      <c r="L113">
        <f t="shared" si="3"/>
        <v>3184</v>
      </c>
      <c r="M113" t="e">
        <f>VLOOKUP(A113,[3]CONTAGEM_DIARIA_JUL25!$B:$M,12,0)</f>
        <v>#N/A</v>
      </c>
    </row>
    <row r="114" spans="1:13" x14ac:dyDescent="0.25">
      <c r="A114" s="2">
        <v>38662</v>
      </c>
      <c r="B114" s="3" t="s">
        <v>108</v>
      </c>
      <c r="C114" s="4">
        <v>0</v>
      </c>
      <c r="F114" s="4">
        <v>0</v>
      </c>
      <c r="G114">
        <v>0</v>
      </c>
      <c r="H114" s="11">
        <v>0</v>
      </c>
      <c r="I114" t="str">
        <f>IFERROR(VLOOKUP(A114,[1]CONTAGEM_DIARIA_JUL25!$B:$M,12,0),"NA")</f>
        <v>NA</v>
      </c>
      <c r="J114">
        <f t="shared" si="2"/>
        <v>0</v>
      </c>
      <c r="K114" t="str">
        <f>IFERROR(VLOOKUP(A114,[2]CONTAGEM_DIARIA_JUL25!$B:$M,12,0),"nao")</f>
        <v>nao</v>
      </c>
      <c r="L114">
        <f t="shared" si="3"/>
        <v>0</v>
      </c>
      <c r="M114" t="e">
        <f>VLOOKUP(A114,[3]CONTAGEM_DIARIA_JUL25!$B:$M,12,0)</f>
        <v>#N/A</v>
      </c>
    </row>
    <row r="115" spans="1:13" x14ac:dyDescent="0.25">
      <c r="A115" s="2">
        <v>35912</v>
      </c>
      <c r="B115" s="3" t="s">
        <v>109</v>
      </c>
      <c r="C115" s="4">
        <v>3.9699999999999998</v>
      </c>
      <c r="F115" s="4">
        <v>5.7</v>
      </c>
      <c r="G115">
        <v>3.9699999999999998</v>
      </c>
      <c r="H115" s="11">
        <v>1.7300000000000004</v>
      </c>
      <c r="I115" t="str">
        <f>IFERROR(VLOOKUP(A115,[1]CONTAGEM_DIARIA_JUL25!$B:$M,12,0),"NA")</f>
        <v>NA</v>
      </c>
      <c r="J115">
        <f t="shared" si="2"/>
        <v>3.9699999999999998</v>
      </c>
      <c r="K115" t="str">
        <f>IFERROR(VLOOKUP(A115,[2]CONTAGEM_DIARIA_JUL25!$B:$M,12,0),"nao")</f>
        <v>nao</v>
      </c>
      <c r="L115">
        <f t="shared" si="3"/>
        <v>3.9699999999999998</v>
      </c>
      <c r="M115" t="e">
        <f>VLOOKUP(A115,[3]CONTAGEM_DIARIA_JUL25!$B:$M,12,0)</f>
        <v>#N/A</v>
      </c>
    </row>
    <row r="116" spans="1:13" x14ac:dyDescent="0.25">
      <c r="A116" s="2">
        <v>20754</v>
      </c>
      <c r="B116" s="3" t="s">
        <v>110</v>
      </c>
      <c r="C116" s="4">
        <v>0</v>
      </c>
      <c r="F116" s="4">
        <v>20.437999999999999</v>
      </c>
      <c r="G116">
        <v>0</v>
      </c>
      <c r="H116" s="11">
        <v>20.437999999999999</v>
      </c>
      <c r="I116" t="str">
        <f>IFERROR(VLOOKUP(A116,[1]CONTAGEM_DIARIA_JUL25!$B:$M,12,0),"NA")</f>
        <v>NA</v>
      </c>
      <c r="J116">
        <f t="shared" si="2"/>
        <v>0</v>
      </c>
      <c r="K116" t="str">
        <f>IFERROR(VLOOKUP(A116,[2]CONTAGEM_DIARIA_JUL25!$B:$M,12,0),"nao")</f>
        <v>nao</v>
      </c>
      <c r="L116">
        <f t="shared" si="3"/>
        <v>0</v>
      </c>
      <c r="M116" t="e">
        <f>VLOOKUP(A116,[3]CONTAGEM_DIARIA_JUL25!$B:$M,12,0)</f>
        <v>#N/A</v>
      </c>
    </row>
    <row r="117" spans="1:13" x14ac:dyDescent="0.25">
      <c r="A117" s="2">
        <v>35194</v>
      </c>
      <c r="B117" s="3" t="s">
        <v>111</v>
      </c>
      <c r="C117" s="4">
        <v>0</v>
      </c>
      <c r="F117" s="4">
        <v>0</v>
      </c>
      <c r="G117">
        <v>0</v>
      </c>
      <c r="H117" s="11">
        <v>0</v>
      </c>
      <c r="I117" t="str">
        <f>IFERROR(VLOOKUP(A117,[1]CONTAGEM_DIARIA_JUL25!$B:$M,12,0),"NA")</f>
        <v>NA</v>
      </c>
      <c r="J117">
        <f t="shared" si="2"/>
        <v>0</v>
      </c>
      <c r="K117" t="str">
        <f>IFERROR(VLOOKUP(A117,[2]CONTAGEM_DIARIA_JUL25!$B:$M,12,0),"nao")</f>
        <v>nao</v>
      </c>
      <c r="L117">
        <f t="shared" si="3"/>
        <v>0</v>
      </c>
      <c r="M117" t="e">
        <f>VLOOKUP(A117,[3]CONTAGEM_DIARIA_JUL25!$B:$M,12,0)</f>
        <v>#N/A</v>
      </c>
    </row>
    <row r="118" spans="1:13" x14ac:dyDescent="0.25">
      <c r="A118" s="2">
        <v>13363</v>
      </c>
      <c r="B118" s="3" t="s">
        <v>112</v>
      </c>
      <c r="C118" s="4">
        <v>5.6079999999999997</v>
      </c>
      <c r="F118" s="4">
        <v>2.7800000000000002</v>
      </c>
      <c r="G118">
        <v>5.6079999999999997</v>
      </c>
      <c r="H118" s="11">
        <v>-2.8279999999999994</v>
      </c>
      <c r="I118" t="str">
        <f>IFERROR(VLOOKUP(A118,[1]CONTAGEM_DIARIA_JUL25!$B:$M,12,0),"NA")</f>
        <v>NA</v>
      </c>
      <c r="J118">
        <f t="shared" si="2"/>
        <v>5.6079999999999997</v>
      </c>
      <c r="K118" t="str">
        <f>IFERROR(VLOOKUP(A118,[2]CONTAGEM_DIARIA_JUL25!$B:$M,12,0),"nao")</f>
        <v>nao</v>
      </c>
      <c r="L118">
        <f t="shared" si="3"/>
        <v>5.6079999999999997</v>
      </c>
      <c r="M118" t="e">
        <f>VLOOKUP(A118,[3]CONTAGEM_DIARIA_JUL25!$B:$M,12,0)</f>
        <v>#N/A</v>
      </c>
    </row>
    <row r="119" spans="1:13" x14ac:dyDescent="0.25">
      <c r="A119" s="2">
        <v>21215</v>
      </c>
      <c r="B119" s="3" t="s">
        <v>113</v>
      </c>
      <c r="C119" s="4">
        <v>9.3019999999999996</v>
      </c>
      <c r="F119" s="4">
        <v>9.3550000000000004</v>
      </c>
      <c r="G119">
        <v>9.3019999999999996</v>
      </c>
      <c r="H119" s="11">
        <v>5.3000000000000824E-2</v>
      </c>
      <c r="I119" t="str">
        <f>IFERROR(VLOOKUP(A119,[1]CONTAGEM_DIARIA_JUL25!$B:$M,12,0),"NA")</f>
        <v>NA</v>
      </c>
      <c r="J119">
        <f t="shared" si="2"/>
        <v>9.3019999999999996</v>
      </c>
      <c r="K119" t="str">
        <f>IFERROR(VLOOKUP(A119,[2]CONTAGEM_DIARIA_JUL25!$B:$M,12,0),"nao")</f>
        <v>nao</v>
      </c>
      <c r="L119">
        <f t="shared" si="3"/>
        <v>9.3019999999999996</v>
      </c>
      <c r="M119" t="e">
        <f>VLOOKUP(A119,[3]CONTAGEM_DIARIA_JUL25!$B:$M,12,0)</f>
        <v>#N/A</v>
      </c>
    </row>
    <row r="120" spans="1:13" x14ac:dyDescent="0.25">
      <c r="A120" s="2">
        <v>39041</v>
      </c>
      <c r="B120" s="3" t="s">
        <v>114</v>
      </c>
      <c r="C120" s="4">
        <v>0</v>
      </c>
      <c r="F120" s="4">
        <v>0</v>
      </c>
      <c r="G120">
        <v>0</v>
      </c>
      <c r="H120" s="11">
        <v>0</v>
      </c>
      <c r="I120" t="str">
        <f>IFERROR(VLOOKUP(A120,[1]CONTAGEM_DIARIA_JUL25!$B:$M,12,0),"NA")</f>
        <v>NA</v>
      </c>
      <c r="J120">
        <f t="shared" si="2"/>
        <v>0</v>
      </c>
      <c r="K120" t="str">
        <f>IFERROR(VLOOKUP(A120,[2]CONTAGEM_DIARIA_JUL25!$B:$M,12,0),"nao")</f>
        <v>nao</v>
      </c>
      <c r="L120">
        <f t="shared" si="3"/>
        <v>0</v>
      </c>
      <c r="M120" t="e">
        <f>VLOOKUP(A120,[3]CONTAGEM_DIARIA_JUL25!$B:$M,12,0)</f>
        <v>#N/A</v>
      </c>
    </row>
    <row r="121" spans="1:13" x14ac:dyDescent="0.25">
      <c r="A121" s="2">
        <v>35103</v>
      </c>
      <c r="B121" s="3" t="s">
        <v>115</v>
      </c>
      <c r="C121" s="4">
        <v>956</v>
      </c>
      <c r="F121" s="4">
        <v>269</v>
      </c>
      <c r="G121">
        <v>100</v>
      </c>
      <c r="H121" s="11">
        <v>169</v>
      </c>
      <c r="I121">
        <f>IFERROR(VLOOKUP(A121,[1]CONTAGEM_DIARIA_JUL25!$B:$M,12,0),"NA")</f>
        <v>1197</v>
      </c>
      <c r="J121">
        <f t="shared" si="2"/>
        <v>1197</v>
      </c>
      <c r="K121" t="str">
        <f>IFERROR(VLOOKUP(A121,[2]CONTAGEM_DIARIA_JUL25!$B:$M,12,0),"nao")</f>
        <v>nao</v>
      </c>
      <c r="L121">
        <v>0</v>
      </c>
      <c r="M121">
        <f>VLOOKUP(A121,[3]CONTAGEM_DIARIA_JUL25!$B:$M,12,0)</f>
        <v>956</v>
      </c>
    </row>
    <row r="122" spans="1:13" x14ac:dyDescent="0.25">
      <c r="A122" s="7">
        <v>34840</v>
      </c>
      <c r="B122" s="8" t="s">
        <v>165</v>
      </c>
      <c r="C122" s="4">
        <v>956</v>
      </c>
      <c r="F122" s="4">
        <v>0</v>
      </c>
      <c r="G122">
        <v>0</v>
      </c>
      <c r="H122" s="11">
        <v>0</v>
      </c>
      <c r="I122" t="str">
        <f>IFERROR(VLOOKUP(A122,[1]CONTAGEM_DIARIA_JUL25!$B:$M,12,0),"NA")</f>
        <v>NA</v>
      </c>
      <c r="J122">
        <f t="shared" si="2"/>
        <v>956</v>
      </c>
      <c r="K122">
        <f>IFERROR(VLOOKUP(A122,[2]CONTAGEM_DIARIA_JUL25!$B:$M,12,0),"nao")</f>
        <v>546</v>
      </c>
      <c r="L122">
        <f t="shared" si="3"/>
        <v>546</v>
      </c>
      <c r="M122" t="e">
        <f>VLOOKUP(A122,[3]CONTAGEM_DIARIA_JUL25!$B:$M,12,0)</f>
        <v>#N/A</v>
      </c>
    </row>
    <row r="123" spans="1:13" x14ac:dyDescent="0.25">
      <c r="A123" s="2">
        <v>39141</v>
      </c>
      <c r="B123" s="3" t="s">
        <v>116</v>
      </c>
      <c r="C123" s="4">
        <v>0</v>
      </c>
      <c r="F123" s="4">
        <v>141</v>
      </c>
      <c r="G123">
        <v>0</v>
      </c>
      <c r="H123" s="11">
        <v>141</v>
      </c>
      <c r="I123" t="str">
        <f>IFERROR(VLOOKUP(A123,[1]CONTAGEM_DIARIA_JUL25!$B:$M,12,0),"NA")</f>
        <v>NA</v>
      </c>
      <c r="J123">
        <f t="shared" si="2"/>
        <v>0</v>
      </c>
      <c r="K123" t="str">
        <f>IFERROR(VLOOKUP(A123,[2]CONTAGEM_DIARIA_JUL25!$B:$M,12,0),"nao")</f>
        <v>nao</v>
      </c>
      <c r="L123">
        <f t="shared" si="3"/>
        <v>0</v>
      </c>
      <c r="M123" t="e">
        <f>VLOOKUP(A123,[3]CONTAGEM_DIARIA_JUL25!$B:$M,12,0)</f>
        <v>#N/A</v>
      </c>
    </row>
    <row r="124" spans="1:13" x14ac:dyDescent="0.25">
      <c r="A124" s="2">
        <v>38585</v>
      </c>
      <c r="B124" s="3" t="s">
        <v>117</v>
      </c>
      <c r="C124" s="4">
        <v>35</v>
      </c>
      <c r="F124" s="4">
        <v>118</v>
      </c>
      <c r="G124">
        <v>113</v>
      </c>
      <c r="H124" s="11">
        <v>5</v>
      </c>
      <c r="I124">
        <f>IFERROR(VLOOKUP(A124,[1]CONTAGEM_DIARIA_JUL25!$B:$M,12,0),"NA")</f>
        <v>80</v>
      </c>
      <c r="J124">
        <f t="shared" si="2"/>
        <v>80</v>
      </c>
      <c r="K124">
        <f>IFERROR(VLOOKUP(A124,[2]CONTAGEM_DIARIA_JUL25!$B:$M,12,0),"nao")</f>
        <v>83</v>
      </c>
      <c r="L124">
        <f t="shared" si="3"/>
        <v>83</v>
      </c>
      <c r="M124">
        <f>VLOOKUP(A124,[3]CONTAGEM_DIARIA_JUL25!$B:$M,12,0)</f>
        <v>35</v>
      </c>
    </row>
    <row r="125" spans="1:13" x14ac:dyDescent="0.25">
      <c r="A125" s="7">
        <v>34459</v>
      </c>
      <c r="B125" s="8" t="s">
        <v>164</v>
      </c>
      <c r="C125" s="4">
        <v>35</v>
      </c>
      <c r="F125" s="4" t="e">
        <v>#N/A</v>
      </c>
      <c r="G125">
        <v>0</v>
      </c>
      <c r="H125" s="11" t="e">
        <v>#N/A</v>
      </c>
      <c r="I125" t="str">
        <f>IFERROR(VLOOKUP(A125,[1]CONTAGEM_DIARIA_JUL25!$B:$M,12,0),"NA")</f>
        <v>NA</v>
      </c>
      <c r="J125">
        <f t="shared" si="2"/>
        <v>35</v>
      </c>
      <c r="K125" t="str">
        <f>IFERROR(VLOOKUP(A125,[2]CONTAGEM_DIARIA_JUL25!$B:$M,12,0),"nao")</f>
        <v>nao</v>
      </c>
      <c r="L125">
        <v>0</v>
      </c>
      <c r="M125" t="e">
        <f>VLOOKUP(A125,[3]CONTAGEM_DIARIA_JUL25!$B:$M,12,0)</f>
        <v>#N/A</v>
      </c>
    </row>
    <row r="126" spans="1:13" x14ac:dyDescent="0.25">
      <c r="A126" s="2">
        <v>36252</v>
      </c>
      <c r="B126" s="3" t="s">
        <v>118</v>
      </c>
      <c r="C126" s="4">
        <v>1</v>
      </c>
      <c r="F126" s="4">
        <v>115</v>
      </c>
      <c r="G126">
        <v>25</v>
      </c>
      <c r="H126" s="11">
        <v>90</v>
      </c>
      <c r="I126">
        <f>IFERROR(VLOOKUP(A126,[1]CONTAGEM_DIARIA_JUL25!$B:$M,12,0),"NA")</f>
        <v>345</v>
      </c>
      <c r="J126">
        <f t="shared" si="2"/>
        <v>345</v>
      </c>
      <c r="K126">
        <f>IFERROR(VLOOKUP(A126,[2]CONTAGEM_DIARIA_JUL25!$B:$M,12,0),"nao")</f>
        <v>194</v>
      </c>
      <c r="L126">
        <f t="shared" si="3"/>
        <v>194</v>
      </c>
      <c r="M126">
        <f>VLOOKUP(A126,[3]CONTAGEM_DIARIA_JUL25!$B:$M,12,0)</f>
        <v>1</v>
      </c>
    </row>
    <row r="127" spans="1:13" x14ac:dyDescent="0.25">
      <c r="A127" s="2">
        <v>34754</v>
      </c>
      <c r="B127" s="3" t="s">
        <v>119</v>
      </c>
      <c r="C127" s="4">
        <v>456</v>
      </c>
      <c r="F127" s="4">
        <v>337</v>
      </c>
      <c r="G127">
        <v>92</v>
      </c>
      <c r="H127" s="11">
        <v>245</v>
      </c>
      <c r="I127">
        <f>IFERROR(VLOOKUP(A127,[1]CONTAGEM_DIARIA_JUL25!$B:$M,12,0),"NA")</f>
        <v>375</v>
      </c>
      <c r="J127">
        <f t="shared" si="2"/>
        <v>375</v>
      </c>
      <c r="K127">
        <f>IFERROR(VLOOKUP(A127,[2]CONTAGEM_DIARIA_JUL25!$B:$M,12,0),"nao")</f>
        <v>159</v>
      </c>
      <c r="L127">
        <f t="shared" si="3"/>
        <v>159</v>
      </c>
      <c r="M127">
        <f>VLOOKUP(A127,[3]CONTAGEM_DIARIA_JUL25!$B:$M,12,0)</f>
        <v>456</v>
      </c>
    </row>
    <row r="128" spans="1:13" x14ac:dyDescent="0.25">
      <c r="A128" s="2">
        <v>32605</v>
      </c>
      <c r="B128" s="3" t="s">
        <v>120</v>
      </c>
      <c r="C128" s="4">
        <v>3870</v>
      </c>
      <c r="F128" s="4">
        <v>5878</v>
      </c>
      <c r="G128">
        <v>3870</v>
      </c>
      <c r="H128" s="11">
        <v>2008</v>
      </c>
      <c r="I128" t="str">
        <f>IFERROR(VLOOKUP(A128,[1]CONTAGEM_DIARIA_JUL25!$B:$M,12,0),"NA")</f>
        <v>NA</v>
      </c>
      <c r="J128">
        <f t="shared" si="2"/>
        <v>3870</v>
      </c>
      <c r="K128" t="str">
        <f>IFERROR(VLOOKUP(A128,[2]CONTAGEM_DIARIA_JUL25!$B:$M,12,0),"nao")</f>
        <v>nao</v>
      </c>
      <c r="L128">
        <f t="shared" si="3"/>
        <v>3870</v>
      </c>
      <c r="M128" t="e">
        <f>VLOOKUP(A128,[3]CONTAGEM_DIARIA_JUL25!$B:$M,12,0)</f>
        <v>#N/A</v>
      </c>
    </row>
    <row r="129" spans="1:13" x14ac:dyDescent="0.25">
      <c r="A129" s="2">
        <v>32375</v>
      </c>
      <c r="B129" s="3" t="s">
        <v>121</v>
      </c>
      <c r="C129" s="4">
        <v>6249</v>
      </c>
      <c r="F129" s="4">
        <v>1725</v>
      </c>
      <c r="G129">
        <v>6249</v>
      </c>
      <c r="H129" s="11">
        <v>-4524</v>
      </c>
      <c r="I129" t="str">
        <f>IFERROR(VLOOKUP(A129,[1]CONTAGEM_DIARIA_JUL25!$B:$M,12,0),"NA")</f>
        <v>NA</v>
      </c>
      <c r="J129">
        <f t="shared" si="2"/>
        <v>6249</v>
      </c>
      <c r="K129" t="str">
        <f>IFERROR(VLOOKUP(A129,[2]CONTAGEM_DIARIA_JUL25!$B:$M,12,0),"nao")</f>
        <v>nao</v>
      </c>
      <c r="L129">
        <f t="shared" si="3"/>
        <v>6249</v>
      </c>
      <c r="M129" t="e">
        <f>VLOOKUP(A129,[3]CONTAGEM_DIARIA_JUL25!$B:$M,12,0)</f>
        <v>#N/A</v>
      </c>
    </row>
    <row r="130" spans="1:13" x14ac:dyDescent="0.25">
      <c r="A130" s="2">
        <v>772</v>
      </c>
      <c r="B130" s="3" t="s">
        <v>122</v>
      </c>
      <c r="C130" s="4">
        <v>17</v>
      </c>
      <c r="F130" s="4">
        <v>15</v>
      </c>
      <c r="G130">
        <v>17</v>
      </c>
      <c r="H130" s="11">
        <v>-2</v>
      </c>
      <c r="I130" t="str">
        <f>IFERROR(VLOOKUP(A130,[1]CONTAGEM_DIARIA_JUL25!$B:$M,12,0),"NA")</f>
        <v>NA</v>
      </c>
      <c r="J130">
        <f t="shared" si="2"/>
        <v>17</v>
      </c>
      <c r="K130" t="str">
        <f>IFERROR(VLOOKUP(A130,[2]CONTAGEM_DIARIA_JUL25!$B:$M,12,0),"nao")</f>
        <v>nao</v>
      </c>
      <c r="L130">
        <f t="shared" si="3"/>
        <v>17</v>
      </c>
      <c r="M130" t="e">
        <f>VLOOKUP(A130,[3]CONTAGEM_DIARIA_JUL25!$B:$M,12,0)</f>
        <v>#N/A</v>
      </c>
    </row>
    <row r="131" spans="1:13" x14ac:dyDescent="0.25">
      <c r="A131" s="2">
        <v>9442</v>
      </c>
      <c r="B131" s="3" t="s">
        <v>123</v>
      </c>
      <c r="C131" s="4">
        <v>0</v>
      </c>
      <c r="F131" s="4">
        <v>0</v>
      </c>
      <c r="G131">
        <v>0</v>
      </c>
      <c r="H131" s="11">
        <v>0</v>
      </c>
      <c r="I131" t="str">
        <f>IFERROR(VLOOKUP(A131,[1]CONTAGEM_DIARIA_JUL25!$B:$M,12,0),"NA")</f>
        <v>NA</v>
      </c>
      <c r="J131">
        <f t="shared" ref="J131:J169" si="4">IF(I131="NA",C131,I131)</f>
        <v>0</v>
      </c>
      <c r="K131" t="str">
        <f>IFERROR(VLOOKUP(A131,[2]CONTAGEM_DIARIA_JUL25!$B:$M,12,0),"nao")</f>
        <v>nao</v>
      </c>
      <c r="L131">
        <f t="shared" ref="L131:L169" si="5">IF(K131="NAO",C131,K131)</f>
        <v>0</v>
      </c>
      <c r="M131" t="e">
        <f>VLOOKUP(A131,[3]CONTAGEM_DIARIA_JUL25!$B:$M,12,0)</f>
        <v>#N/A</v>
      </c>
    </row>
    <row r="132" spans="1:13" x14ac:dyDescent="0.25">
      <c r="A132" s="2">
        <v>15190</v>
      </c>
      <c r="B132" s="3" t="s">
        <v>124</v>
      </c>
      <c r="C132" s="4">
        <v>5</v>
      </c>
      <c r="F132" s="4">
        <v>12</v>
      </c>
      <c r="G132">
        <v>5</v>
      </c>
      <c r="H132" s="11">
        <v>7</v>
      </c>
      <c r="I132" t="str">
        <f>IFERROR(VLOOKUP(A132,[1]CONTAGEM_DIARIA_JUL25!$B:$M,12,0),"NA")</f>
        <v>NA</v>
      </c>
      <c r="J132">
        <f t="shared" si="4"/>
        <v>5</v>
      </c>
      <c r="K132" t="str">
        <f>IFERROR(VLOOKUP(A132,[2]CONTAGEM_DIARIA_JUL25!$B:$M,12,0),"nao")</f>
        <v>nao</v>
      </c>
      <c r="L132">
        <f t="shared" si="5"/>
        <v>5</v>
      </c>
      <c r="M132" t="e">
        <f>VLOOKUP(A132,[3]CONTAGEM_DIARIA_JUL25!$B:$M,12,0)</f>
        <v>#N/A</v>
      </c>
    </row>
    <row r="133" spans="1:13" x14ac:dyDescent="0.25">
      <c r="A133" s="2">
        <v>9096</v>
      </c>
      <c r="B133" s="3" t="s">
        <v>125</v>
      </c>
      <c r="C133" s="4">
        <v>50</v>
      </c>
      <c r="F133" s="4">
        <v>0</v>
      </c>
      <c r="G133">
        <v>55</v>
      </c>
      <c r="H133" s="11">
        <v>-55</v>
      </c>
      <c r="I133">
        <f>IFERROR(VLOOKUP(A133,[1]CONTAGEM_DIARIA_JUL25!$B:$M,12,0),"NA")</f>
        <v>0</v>
      </c>
      <c r="J133">
        <f t="shared" si="4"/>
        <v>0</v>
      </c>
      <c r="K133">
        <f>IFERROR(VLOOKUP(A133,[2]CONTAGEM_DIARIA_JUL25!$B:$M,12,0),"nao")</f>
        <v>53</v>
      </c>
      <c r="L133">
        <f t="shared" si="5"/>
        <v>53</v>
      </c>
      <c r="M133">
        <f>VLOOKUP(A133,[3]CONTAGEM_DIARIA_JUL25!$B:$M,12,0)</f>
        <v>50</v>
      </c>
    </row>
    <row r="134" spans="1:13" x14ac:dyDescent="0.25">
      <c r="A134" s="2">
        <v>9274</v>
      </c>
      <c r="B134" s="3" t="s">
        <v>126</v>
      </c>
      <c r="C134" s="4">
        <v>6</v>
      </c>
      <c r="F134" s="4">
        <v>52</v>
      </c>
      <c r="G134">
        <v>0</v>
      </c>
      <c r="H134" s="11">
        <v>52</v>
      </c>
      <c r="I134">
        <f>IFERROR(VLOOKUP(A134,[1]CONTAGEM_DIARIA_JUL25!$B:$M,12,0),"NA")</f>
        <v>0</v>
      </c>
      <c r="J134">
        <f t="shared" si="4"/>
        <v>0</v>
      </c>
      <c r="K134">
        <f>IFERROR(VLOOKUP(A134,[2]CONTAGEM_DIARIA_JUL25!$B:$M,12,0),"nao")</f>
        <v>18</v>
      </c>
      <c r="L134">
        <f t="shared" si="5"/>
        <v>18</v>
      </c>
      <c r="M134">
        <f>VLOOKUP(A134,[3]CONTAGEM_DIARIA_JUL25!$B:$M,12,0)</f>
        <v>6</v>
      </c>
    </row>
    <row r="135" spans="1:13" x14ac:dyDescent="0.25">
      <c r="A135" s="2">
        <v>35083</v>
      </c>
      <c r="B135" s="3" t="s">
        <v>127</v>
      </c>
      <c r="C135" s="4">
        <v>0.125</v>
      </c>
      <c r="F135" s="4">
        <v>0.23499999999999999</v>
      </c>
      <c r="G135">
        <v>0.125</v>
      </c>
      <c r="H135" s="11">
        <v>0.10999999999999999</v>
      </c>
      <c r="I135" t="str">
        <f>IFERROR(VLOOKUP(A135,[1]CONTAGEM_DIARIA_JUL25!$B:$M,12,0),"NA")</f>
        <v>NA</v>
      </c>
      <c r="J135">
        <f t="shared" si="4"/>
        <v>0.125</v>
      </c>
      <c r="K135" t="str">
        <f>IFERROR(VLOOKUP(A135,[2]CONTAGEM_DIARIA_JUL25!$B:$M,12,0),"nao")</f>
        <v>nao</v>
      </c>
      <c r="L135">
        <f t="shared" si="5"/>
        <v>0.125</v>
      </c>
      <c r="M135" t="e">
        <f>VLOOKUP(A135,[3]CONTAGEM_DIARIA_JUL25!$B:$M,12,0)</f>
        <v>#N/A</v>
      </c>
    </row>
    <row r="136" spans="1:13" x14ac:dyDescent="0.25">
      <c r="A136" s="2">
        <v>38839</v>
      </c>
      <c r="B136" s="3" t="s">
        <v>128</v>
      </c>
      <c r="C136" s="4">
        <v>0</v>
      </c>
      <c r="F136" s="4">
        <v>0</v>
      </c>
      <c r="G136">
        <v>0</v>
      </c>
      <c r="H136" s="11">
        <v>0</v>
      </c>
      <c r="I136" t="str">
        <f>IFERROR(VLOOKUP(A136,[1]CONTAGEM_DIARIA_JUL25!$B:$M,12,0),"NA")</f>
        <v>NA</v>
      </c>
      <c r="J136">
        <f t="shared" si="4"/>
        <v>0</v>
      </c>
      <c r="K136" t="str">
        <f>IFERROR(VLOOKUP(A136,[2]CONTAGEM_DIARIA_JUL25!$B:$M,12,0),"nao")</f>
        <v>nao</v>
      </c>
      <c r="L136">
        <f t="shared" si="5"/>
        <v>0</v>
      </c>
      <c r="M136" t="e">
        <f>VLOOKUP(A136,[3]CONTAGEM_DIARIA_JUL25!$B:$M,12,0)</f>
        <v>#N/A</v>
      </c>
    </row>
    <row r="137" spans="1:13" x14ac:dyDescent="0.25">
      <c r="A137" s="2">
        <v>35572</v>
      </c>
      <c r="B137" s="3" t="s">
        <v>129</v>
      </c>
      <c r="C137" s="4">
        <v>350</v>
      </c>
      <c r="F137" s="4">
        <v>345</v>
      </c>
      <c r="G137">
        <v>350</v>
      </c>
      <c r="H137" s="11">
        <v>-5</v>
      </c>
      <c r="I137" t="str">
        <f>IFERROR(VLOOKUP(A137,[1]CONTAGEM_DIARIA_JUL25!$B:$M,12,0),"NA")</f>
        <v>NA</v>
      </c>
      <c r="J137">
        <f t="shared" si="4"/>
        <v>350</v>
      </c>
      <c r="K137" t="str">
        <f>IFERROR(VLOOKUP(A137,[2]CONTAGEM_DIARIA_JUL25!$B:$M,12,0),"nao")</f>
        <v>nao</v>
      </c>
      <c r="L137">
        <f t="shared" si="5"/>
        <v>350</v>
      </c>
      <c r="M137" t="e">
        <f>VLOOKUP(A137,[3]CONTAGEM_DIARIA_JUL25!$B:$M,12,0)</f>
        <v>#N/A</v>
      </c>
    </row>
    <row r="138" spans="1:13" x14ac:dyDescent="0.25">
      <c r="A138" s="2">
        <v>35619</v>
      </c>
      <c r="B138" s="3" t="s">
        <v>130</v>
      </c>
      <c r="C138" s="4">
        <v>3454</v>
      </c>
      <c r="F138" s="4">
        <v>1994</v>
      </c>
      <c r="G138">
        <v>1588</v>
      </c>
      <c r="H138" s="11">
        <v>406</v>
      </c>
      <c r="I138">
        <f>IFERROR(VLOOKUP(A138,[1]CONTAGEM_DIARIA_JUL25!$B:$M,12,0),"NA")</f>
        <v>2304</v>
      </c>
      <c r="J138">
        <f t="shared" si="4"/>
        <v>2304</v>
      </c>
      <c r="K138" t="str">
        <f>IFERROR(VLOOKUP(A138,[2]CONTAGEM_DIARIA_JUL25!$B:$M,12,0),"nao")</f>
        <v>nao</v>
      </c>
      <c r="L138">
        <v>0</v>
      </c>
      <c r="M138">
        <f>VLOOKUP(A138,[3]CONTAGEM_DIARIA_JUL25!$B:$M,12,0)</f>
        <v>3454</v>
      </c>
    </row>
    <row r="139" spans="1:13" x14ac:dyDescent="0.25">
      <c r="A139" s="7">
        <v>35610</v>
      </c>
      <c r="B139" s="8" t="s">
        <v>166</v>
      </c>
      <c r="C139" s="4">
        <v>3454</v>
      </c>
      <c r="F139" s="4">
        <v>0</v>
      </c>
      <c r="G139">
        <v>0</v>
      </c>
      <c r="H139" s="11">
        <v>0</v>
      </c>
      <c r="I139" t="str">
        <f>IFERROR(VLOOKUP(A139,[1]CONTAGEM_DIARIA_JUL25!$B:$M,12,0),"NA")</f>
        <v>NA</v>
      </c>
      <c r="J139">
        <f t="shared" si="4"/>
        <v>3454</v>
      </c>
      <c r="K139">
        <f>IFERROR(VLOOKUP(A139,[2]CONTAGEM_DIARIA_JUL25!$B:$M,12,0),"nao")</f>
        <v>1824</v>
      </c>
      <c r="L139">
        <f t="shared" si="5"/>
        <v>1824</v>
      </c>
      <c r="M139" t="e">
        <f>VLOOKUP(A139,[3]CONTAGEM_DIARIA_JUL25!$B:$M,12,0)</f>
        <v>#N/A</v>
      </c>
    </row>
    <row r="140" spans="1:13" x14ac:dyDescent="0.25">
      <c r="A140" s="2">
        <v>38141</v>
      </c>
      <c r="B140" s="3" t="s">
        <v>131</v>
      </c>
      <c r="C140" s="4">
        <v>0</v>
      </c>
      <c r="F140" s="4">
        <v>0</v>
      </c>
      <c r="G140">
        <v>0</v>
      </c>
      <c r="H140" s="11">
        <v>0</v>
      </c>
      <c r="I140" t="str">
        <f>IFERROR(VLOOKUP(A140,[1]CONTAGEM_DIARIA_JUL25!$B:$M,12,0),"NA")</f>
        <v>NA</v>
      </c>
      <c r="J140">
        <f t="shared" si="4"/>
        <v>0</v>
      </c>
      <c r="K140" t="str">
        <f>IFERROR(VLOOKUP(A140,[2]CONTAGEM_DIARIA_JUL25!$B:$M,12,0),"nao")</f>
        <v>nao</v>
      </c>
      <c r="L140">
        <f t="shared" si="5"/>
        <v>0</v>
      </c>
      <c r="M140" t="e">
        <f>VLOOKUP(A140,[3]CONTAGEM_DIARIA_JUL25!$B:$M,12,0)</f>
        <v>#N/A</v>
      </c>
    </row>
    <row r="141" spans="1:13" x14ac:dyDescent="0.25">
      <c r="A141" s="2">
        <v>21671</v>
      </c>
      <c r="B141" s="3" t="s">
        <v>132</v>
      </c>
      <c r="C141" s="4">
        <v>205</v>
      </c>
      <c r="F141" s="4">
        <v>0</v>
      </c>
      <c r="G141">
        <v>205</v>
      </c>
      <c r="H141" s="11">
        <v>-205</v>
      </c>
      <c r="I141" t="str">
        <f>IFERROR(VLOOKUP(A141,[1]CONTAGEM_DIARIA_JUL25!$B:$M,12,0),"NA")</f>
        <v>NA</v>
      </c>
      <c r="J141">
        <f t="shared" si="4"/>
        <v>205</v>
      </c>
      <c r="K141" t="str">
        <f>IFERROR(VLOOKUP(A141,[2]CONTAGEM_DIARIA_JUL25!$B:$M,12,0),"nao")</f>
        <v>nao</v>
      </c>
      <c r="L141">
        <f t="shared" si="5"/>
        <v>205</v>
      </c>
      <c r="M141" t="e">
        <f>VLOOKUP(A141,[3]CONTAGEM_DIARIA_JUL25!$B:$M,12,0)</f>
        <v>#N/A</v>
      </c>
    </row>
    <row r="142" spans="1:13" x14ac:dyDescent="0.25">
      <c r="A142" s="2">
        <v>33345</v>
      </c>
      <c r="B142" s="3" t="s">
        <v>133</v>
      </c>
      <c r="C142" s="4">
        <v>0</v>
      </c>
      <c r="F142" s="4">
        <v>0</v>
      </c>
      <c r="G142">
        <v>0</v>
      </c>
      <c r="H142" s="11">
        <v>0</v>
      </c>
      <c r="I142" t="str">
        <f>IFERROR(VLOOKUP(A142,[1]CONTAGEM_DIARIA_JUL25!$B:$M,12,0),"NA")</f>
        <v>NA</v>
      </c>
      <c r="J142">
        <f t="shared" si="4"/>
        <v>0</v>
      </c>
      <c r="K142" t="str">
        <f>IFERROR(VLOOKUP(A142,[2]CONTAGEM_DIARIA_JUL25!$B:$M,12,0),"nao")</f>
        <v>nao</v>
      </c>
      <c r="L142">
        <f t="shared" si="5"/>
        <v>0</v>
      </c>
      <c r="M142" t="e">
        <f>VLOOKUP(A142,[3]CONTAGEM_DIARIA_JUL25!$B:$M,12,0)</f>
        <v>#N/A</v>
      </c>
    </row>
    <row r="143" spans="1:13" x14ac:dyDescent="0.25">
      <c r="A143" s="2">
        <v>32997</v>
      </c>
      <c r="B143" s="3" t="s">
        <v>134</v>
      </c>
      <c r="C143" s="4">
        <v>42</v>
      </c>
      <c r="F143" s="4">
        <v>75</v>
      </c>
      <c r="G143">
        <v>42</v>
      </c>
      <c r="H143" s="11">
        <v>33</v>
      </c>
      <c r="I143" t="str">
        <f>IFERROR(VLOOKUP(A143,[1]CONTAGEM_DIARIA_JUL25!$B:$M,12,0),"NA")</f>
        <v>NA</v>
      </c>
      <c r="J143">
        <f t="shared" si="4"/>
        <v>42</v>
      </c>
      <c r="K143" t="str">
        <f>IFERROR(VLOOKUP(A143,[2]CONTAGEM_DIARIA_JUL25!$B:$M,12,0),"nao")</f>
        <v>nao</v>
      </c>
      <c r="L143">
        <f t="shared" si="5"/>
        <v>42</v>
      </c>
      <c r="M143" t="e">
        <f>VLOOKUP(A143,[3]CONTAGEM_DIARIA_JUL25!$B:$M,12,0)</f>
        <v>#N/A</v>
      </c>
    </row>
    <row r="144" spans="1:13" x14ac:dyDescent="0.25">
      <c r="A144" s="2">
        <v>35835</v>
      </c>
      <c r="B144" s="3" t="s">
        <v>135</v>
      </c>
      <c r="C144" s="4">
        <v>190</v>
      </c>
      <c r="F144" s="4">
        <v>168</v>
      </c>
      <c r="G144">
        <v>190</v>
      </c>
      <c r="H144" s="11">
        <v>-22</v>
      </c>
      <c r="I144" t="str">
        <f>IFERROR(VLOOKUP(A144,[1]CONTAGEM_DIARIA_JUL25!$B:$M,12,0),"NA")</f>
        <v>NA</v>
      </c>
      <c r="J144">
        <f t="shared" si="4"/>
        <v>190</v>
      </c>
      <c r="K144" t="str">
        <f>IFERROR(VLOOKUP(A144,[2]CONTAGEM_DIARIA_JUL25!$B:$M,12,0),"nao")</f>
        <v>nao</v>
      </c>
      <c r="L144">
        <f t="shared" si="5"/>
        <v>190</v>
      </c>
      <c r="M144" t="e">
        <f>VLOOKUP(A144,[3]CONTAGEM_DIARIA_JUL25!$B:$M,12,0)</f>
        <v>#N/A</v>
      </c>
    </row>
    <row r="145" spans="1:13" x14ac:dyDescent="0.25">
      <c r="A145" s="2">
        <v>23188</v>
      </c>
      <c r="B145" s="3" t="s">
        <v>136</v>
      </c>
      <c r="C145" s="4">
        <v>545</v>
      </c>
      <c r="F145" s="4">
        <v>1290</v>
      </c>
      <c r="G145">
        <v>545</v>
      </c>
      <c r="H145" s="11">
        <v>745</v>
      </c>
      <c r="I145" t="str">
        <f>IFERROR(VLOOKUP(A145,[1]CONTAGEM_DIARIA_JUL25!$B:$M,12,0),"NA")</f>
        <v>NA</v>
      </c>
      <c r="J145">
        <f t="shared" si="4"/>
        <v>545</v>
      </c>
      <c r="K145" t="str">
        <f>IFERROR(VLOOKUP(A145,[2]CONTAGEM_DIARIA_JUL25!$B:$M,12,0),"nao")</f>
        <v>nao</v>
      </c>
      <c r="L145">
        <f t="shared" si="5"/>
        <v>545</v>
      </c>
      <c r="M145" t="e">
        <f>VLOOKUP(A145,[3]CONTAGEM_DIARIA_JUL25!$B:$M,12,0)</f>
        <v>#N/A</v>
      </c>
    </row>
    <row r="146" spans="1:13" x14ac:dyDescent="0.25">
      <c r="A146" s="2">
        <v>37811</v>
      </c>
      <c r="B146" s="3" t="s">
        <v>137</v>
      </c>
      <c r="C146" s="4">
        <v>0</v>
      </c>
      <c r="F146" s="4">
        <v>0</v>
      </c>
      <c r="G146">
        <v>0</v>
      </c>
      <c r="H146" s="11">
        <v>0</v>
      </c>
      <c r="I146" t="str">
        <f>IFERROR(VLOOKUP(A146,[1]CONTAGEM_DIARIA_JUL25!$B:$M,12,0),"NA")</f>
        <v>NA</v>
      </c>
      <c r="J146">
        <f t="shared" si="4"/>
        <v>0</v>
      </c>
      <c r="K146" t="str">
        <f>IFERROR(VLOOKUP(A146,[2]CONTAGEM_DIARIA_JUL25!$B:$M,12,0),"nao")</f>
        <v>nao</v>
      </c>
      <c r="L146">
        <f t="shared" si="5"/>
        <v>0</v>
      </c>
      <c r="M146" t="e">
        <f>VLOOKUP(A146,[3]CONTAGEM_DIARIA_JUL25!$B:$M,12,0)</f>
        <v>#N/A</v>
      </c>
    </row>
    <row r="147" spans="1:13" x14ac:dyDescent="0.25">
      <c r="A147" s="2">
        <v>35505</v>
      </c>
      <c r="B147" s="3" t="s">
        <v>138</v>
      </c>
      <c r="C147" s="4">
        <v>158</v>
      </c>
      <c r="F147" s="4">
        <v>100</v>
      </c>
      <c r="G147">
        <v>158</v>
      </c>
      <c r="H147" s="11">
        <v>-58</v>
      </c>
      <c r="I147" t="str">
        <f>IFERROR(VLOOKUP(A147,[1]CONTAGEM_DIARIA_JUL25!$B:$M,12,0),"NA")</f>
        <v>NA</v>
      </c>
      <c r="J147">
        <f t="shared" si="4"/>
        <v>158</v>
      </c>
      <c r="K147" t="str">
        <f>IFERROR(VLOOKUP(A147,[2]CONTAGEM_DIARIA_JUL25!$B:$M,12,0),"nao")</f>
        <v>nao</v>
      </c>
      <c r="L147">
        <f t="shared" si="5"/>
        <v>158</v>
      </c>
      <c r="M147" t="e">
        <f>VLOOKUP(A147,[3]CONTAGEM_DIARIA_JUL25!$B:$M,12,0)</f>
        <v>#N/A</v>
      </c>
    </row>
    <row r="148" spans="1:13" x14ac:dyDescent="0.25">
      <c r="A148" s="2">
        <v>36109</v>
      </c>
      <c r="B148" s="3" t="s">
        <v>139</v>
      </c>
      <c r="C148" s="4">
        <v>0</v>
      </c>
      <c r="F148" s="4">
        <v>0</v>
      </c>
      <c r="G148">
        <v>0</v>
      </c>
      <c r="H148" s="11">
        <v>0</v>
      </c>
      <c r="I148" t="str">
        <f>IFERROR(VLOOKUP(A148,[1]CONTAGEM_DIARIA_JUL25!$B:$M,12,0),"NA")</f>
        <v>NA</v>
      </c>
      <c r="J148">
        <f t="shared" si="4"/>
        <v>0</v>
      </c>
      <c r="K148" t="str">
        <f>IFERROR(VLOOKUP(A148,[2]CONTAGEM_DIARIA_JUL25!$B:$M,12,0),"nao")</f>
        <v>nao</v>
      </c>
      <c r="L148">
        <f t="shared" si="5"/>
        <v>0</v>
      </c>
      <c r="M148" t="e">
        <f>VLOOKUP(A148,[3]CONTAGEM_DIARIA_JUL25!$B:$M,12,0)</f>
        <v>#N/A</v>
      </c>
    </row>
    <row r="149" spans="1:13" x14ac:dyDescent="0.25">
      <c r="A149" s="2">
        <v>19555</v>
      </c>
      <c r="B149" s="3" t="s">
        <v>140</v>
      </c>
      <c r="C149" s="4">
        <v>258</v>
      </c>
      <c r="F149" s="4">
        <v>1595</v>
      </c>
      <c r="G149">
        <v>258</v>
      </c>
      <c r="H149" s="11">
        <v>1337</v>
      </c>
      <c r="I149" t="str">
        <f>IFERROR(VLOOKUP(A149,[1]CONTAGEM_DIARIA_JUL25!$B:$M,12,0),"NA")</f>
        <v>NA</v>
      </c>
      <c r="J149">
        <f t="shared" si="4"/>
        <v>258</v>
      </c>
      <c r="K149" t="str">
        <f>IFERROR(VLOOKUP(A149,[2]CONTAGEM_DIARIA_JUL25!$B:$M,12,0),"nao")</f>
        <v>nao</v>
      </c>
      <c r="L149">
        <f t="shared" si="5"/>
        <v>258</v>
      </c>
      <c r="M149" t="e">
        <f>VLOOKUP(A149,[3]CONTAGEM_DIARIA_JUL25!$B:$M,12,0)</f>
        <v>#N/A</v>
      </c>
    </row>
    <row r="150" spans="1:13" x14ac:dyDescent="0.25">
      <c r="A150" s="2">
        <v>19556</v>
      </c>
      <c r="B150" s="3" t="s">
        <v>141</v>
      </c>
      <c r="C150" s="4">
        <v>0</v>
      </c>
      <c r="F150" s="4">
        <v>0</v>
      </c>
      <c r="G150">
        <v>0</v>
      </c>
      <c r="H150" s="11">
        <v>0</v>
      </c>
      <c r="I150" t="str">
        <f>IFERROR(VLOOKUP(A150,[1]CONTAGEM_DIARIA_JUL25!$B:$M,12,0),"NA")</f>
        <v>NA</v>
      </c>
      <c r="J150">
        <f t="shared" si="4"/>
        <v>0</v>
      </c>
      <c r="K150" t="str">
        <f>IFERROR(VLOOKUP(A150,[2]CONTAGEM_DIARIA_JUL25!$B:$M,12,0),"nao")</f>
        <v>nao</v>
      </c>
      <c r="L150">
        <f t="shared" si="5"/>
        <v>0</v>
      </c>
      <c r="M150" t="e">
        <f>VLOOKUP(A150,[3]CONTAGEM_DIARIA_JUL25!$B:$M,12,0)</f>
        <v>#N/A</v>
      </c>
    </row>
    <row r="151" spans="1:13" x14ac:dyDescent="0.25">
      <c r="A151" s="2">
        <v>19557</v>
      </c>
      <c r="B151" s="3" t="s">
        <v>142</v>
      </c>
      <c r="C151" s="4">
        <v>274</v>
      </c>
      <c r="F151" s="4">
        <v>500</v>
      </c>
      <c r="G151">
        <v>274</v>
      </c>
      <c r="H151" s="11">
        <v>226</v>
      </c>
      <c r="I151" t="str">
        <f>IFERROR(VLOOKUP(A151,[1]CONTAGEM_DIARIA_JUL25!$B:$M,12,0),"NA")</f>
        <v>NA</v>
      </c>
      <c r="J151">
        <f t="shared" si="4"/>
        <v>274</v>
      </c>
      <c r="K151" t="str">
        <f>IFERROR(VLOOKUP(A151,[2]CONTAGEM_DIARIA_JUL25!$B:$M,12,0),"nao")</f>
        <v>nao</v>
      </c>
      <c r="L151">
        <f t="shared" si="5"/>
        <v>274</v>
      </c>
      <c r="M151" t="e">
        <f>VLOOKUP(A151,[3]CONTAGEM_DIARIA_JUL25!$B:$M,12,0)</f>
        <v>#N/A</v>
      </c>
    </row>
    <row r="152" spans="1:13" x14ac:dyDescent="0.25">
      <c r="A152" s="2">
        <v>10947</v>
      </c>
      <c r="B152" s="3" t="s">
        <v>143</v>
      </c>
      <c r="C152" s="4">
        <v>0.3</v>
      </c>
      <c r="F152" s="4">
        <v>0.68500000000000005</v>
      </c>
      <c r="G152">
        <v>0.3</v>
      </c>
      <c r="H152" s="11">
        <v>0.38500000000000006</v>
      </c>
      <c r="I152" t="str">
        <f>IFERROR(VLOOKUP(A152,[1]CONTAGEM_DIARIA_JUL25!$B:$M,12,0),"NA")</f>
        <v>NA</v>
      </c>
      <c r="J152">
        <f t="shared" si="4"/>
        <v>0.3</v>
      </c>
      <c r="K152" t="str">
        <f>IFERROR(VLOOKUP(A152,[2]CONTAGEM_DIARIA_JUL25!$B:$M,12,0),"nao")</f>
        <v>nao</v>
      </c>
      <c r="L152">
        <f t="shared" si="5"/>
        <v>0.3</v>
      </c>
      <c r="M152" t="e">
        <f>VLOOKUP(A152,[3]CONTAGEM_DIARIA_JUL25!$B:$M,12,0)</f>
        <v>#N/A</v>
      </c>
    </row>
    <row r="153" spans="1:13" x14ac:dyDescent="0.25">
      <c r="A153" s="2">
        <v>33290</v>
      </c>
      <c r="B153" s="3" t="s">
        <v>144</v>
      </c>
      <c r="C153" s="4">
        <v>2500</v>
      </c>
      <c r="F153" s="4">
        <v>1592</v>
      </c>
      <c r="G153">
        <v>2500</v>
      </c>
      <c r="H153" s="11">
        <v>-908</v>
      </c>
      <c r="I153" t="str">
        <f>IFERROR(VLOOKUP(A153,[1]CONTAGEM_DIARIA_JUL25!$B:$M,12,0),"NA")</f>
        <v>NA</v>
      </c>
      <c r="J153">
        <f t="shared" si="4"/>
        <v>2500</v>
      </c>
      <c r="K153" t="str">
        <f>IFERROR(VLOOKUP(A153,[2]CONTAGEM_DIARIA_JUL25!$B:$M,12,0),"nao")</f>
        <v>nao</v>
      </c>
      <c r="L153">
        <f t="shared" si="5"/>
        <v>2500</v>
      </c>
      <c r="M153" t="e">
        <f>VLOOKUP(A153,[3]CONTAGEM_DIARIA_JUL25!$B:$M,12,0)</f>
        <v>#N/A</v>
      </c>
    </row>
    <row r="154" spans="1:13" x14ac:dyDescent="0.25">
      <c r="A154" s="2">
        <v>35144</v>
      </c>
      <c r="B154" s="3" t="s">
        <v>145</v>
      </c>
      <c r="C154" s="4">
        <v>1305</v>
      </c>
      <c r="F154" s="4">
        <v>1398</v>
      </c>
      <c r="G154">
        <v>1305</v>
      </c>
      <c r="H154" s="11">
        <v>93</v>
      </c>
      <c r="I154" t="str">
        <f>IFERROR(VLOOKUP(A154,[1]CONTAGEM_DIARIA_JUL25!$B:$M,12,0),"NA")</f>
        <v>NA</v>
      </c>
      <c r="J154">
        <f t="shared" si="4"/>
        <v>1305</v>
      </c>
      <c r="K154" t="str">
        <f>IFERROR(VLOOKUP(A154,[2]CONTAGEM_DIARIA_JUL25!$B:$M,12,0),"nao")</f>
        <v>nao</v>
      </c>
      <c r="L154">
        <f t="shared" si="5"/>
        <v>1305</v>
      </c>
      <c r="M154" t="e">
        <f>VLOOKUP(A154,[3]CONTAGEM_DIARIA_JUL25!$B:$M,12,0)</f>
        <v>#N/A</v>
      </c>
    </row>
    <row r="155" spans="1:13" x14ac:dyDescent="0.25">
      <c r="A155" s="2">
        <v>2248</v>
      </c>
      <c r="B155" s="3" t="s">
        <v>146</v>
      </c>
      <c r="C155" s="4">
        <v>18</v>
      </c>
      <c r="F155" s="4">
        <v>30</v>
      </c>
      <c r="G155">
        <v>18</v>
      </c>
      <c r="H155" s="11">
        <v>12</v>
      </c>
      <c r="I155" t="str">
        <f>IFERROR(VLOOKUP(A155,[1]CONTAGEM_DIARIA_JUL25!$B:$M,12,0),"NA")</f>
        <v>NA</v>
      </c>
      <c r="J155">
        <f t="shared" si="4"/>
        <v>18</v>
      </c>
      <c r="K155" t="str">
        <f>IFERROR(VLOOKUP(A155,[2]CONTAGEM_DIARIA_JUL25!$B:$M,12,0),"nao")</f>
        <v>nao</v>
      </c>
      <c r="L155">
        <f t="shared" si="5"/>
        <v>18</v>
      </c>
      <c r="M155" t="e">
        <f>VLOOKUP(A155,[3]CONTAGEM_DIARIA_JUL25!$B:$M,12,0)</f>
        <v>#N/A</v>
      </c>
    </row>
    <row r="156" spans="1:13" x14ac:dyDescent="0.25">
      <c r="A156" s="2">
        <v>7431</v>
      </c>
      <c r="B156" s="3" t="s">
        <v>147</v>
      </c>
      <c r="C156" s="4">
        <v>3</v>
      </c>
      <c r="F156" s="4">
        <v>26</v>
      </c>
      <c r="G156">
        <v>3</v>
      </c>
      <c r="H156" s="11">
        <v>23</v>
      </c>
      <c r="I156" t="str">
        <f>IFERROR(VLOOKUP(A156,[1]CONTAGEM_DIARIA_JUL25!$B:$M,12,0),"NA")</f>
        <v>NA</v>
      </c>
      <c r="J156">
        <f t="shared" si="4"/>
        <v>3</v>
      </c>
      <c r="K156" t="str">
        <f>IFERROR(VLOOKUP(A156,[2]CONTAGEM_DIARIA_JUL25!$B:$M,12,0),"nao")</f>
        <v>nao</v>
      </c>
      <c r="L156">
        <f t="shared" si="5"/>
        <v>3</v>
      </c>
      <c r="M156" t="e">
        <f>VLOOKUP(A156,[3]CONTAGEM_DIARIA_JUL25!$B:$M,12,0)</f>
        <v>#N/A</v>
      </c>
    </row>
    <row r="157" spans="1:13" x14ac:dyDescent="0.25">
      <c r="A157" s="2">
        <v>35047</v>
      </c>
      <c r="B157" s="3" t="s">
        <v>148</v>
      </c>
      <c r="C157" s="4">
        <v>18</v>
      </c>
      <c r="F157" s="4">
        <v>22</v>
      </c>
      <c r="G157">
        <v>24</v>
      </c>
      <c r="H157" s="11">
        <v>-2</v>
      </c>
      <c r="I157">
        <f>IFERROR(VLOOKUP(A157,[1]CONTAGEM_DIARIA_JUL25!$B:$M,12,0),"NA")</f>
        <v>0</v>
      </c>
      <c r="J157">
        <f t="shared" si="4"/>
        <v>0</v>
      </c>
      <c r="K157">
        <f>IFERROR(VLOOKUP(A157,[2]CONTAGEM_DIARIA_JUL25!$B:$M,12,0),"nao")</f>
        <v>33</v>
      </c>
      <c r="L157">
        <f t="shared" si="5"/>
        <v>33</v>
      </c>
      <c r="M157">
        <f>VLOOKUP(A157,[3]CONTAGEM_DIARIA_JUL25!$B:$M,12,0)</f>
        <v>18</v>
      </c>
    </row>
    <row r="158" spans="1:13" x14ac:dyDescent="0.25">
      <c r="A158" s="2">
        <v>35959</v>
      </c>
      <c r="B158" s="3" t="s">
        <v>149</v>
      </c>
      <c r="C158" s="4">
        <v>17</v>
      </c>
      <c r="F158" s="4">
        <v>23</v>
      </c>
      <c r="G158">
        <v>24</v>
      </c>
      <c r="H158" s="11">
        <v>-1</v>
      </c>
      <c r="I158">
        <f>IFERROR(VLOOKUP(A158,[1]CONTAGEM_DIARIA_JUL25!$B:$M,12,0),"NA")</f>
        <v>0</v>
      </c>
      <c r="J158">
        <f t="shared" si="4"/>
        <v>0</v>
      </c>
      <c r="K158">
        <f>IFERROR(VLOOKUP(A158,[2]CONTAGEM_DIARIA_JUL25!$B:$M,12,0),"nao")</f>
        <v>34</v>
      </c>
      <c r="L158">
        <f t="shared" si="5"/>
        <v>34</v>
      </c>
      <c r="M158">
        <f>VLOOKUP(A158,[3]CONTAGEM_DIARIA_JUL25!$B:$M,12,0)</f>
        <v>17</v>
      </c>
    </row>
    <row r="159" spans="1:13" x14ac:dyDescent="0.25">
      <c r="A159" s="2">
        <v>35046</v>
      </c>
      <c r="B159" s="3" t="s">
        <v>150</v>
      </c>
      <c r="C159" s="4">
        <v>30</v>
      </c>
      <c r="F159" s="4">
        <v>10</v>
      </c>
      <c r="G159">
        <v>1</v>
      </c>
      <c r="H159" s="11">
        <v>9</v>
      </c>
      <c r="I159">
        <f>IFERROR(VLOOKUP(A159,[1]CONTAGEM_DIARIA_JUL25!$B:$M,12,0),"NA")</f>
        <v>0</v>
      </c>
      <c r="J159">
        <f t="shared" si="4"/>
        <v>0</v>
      </c>
      <c r="K159">
        <f>IFERROR(VLOOKUP(A159,[2]CONTAGEM_DIARIA_JUL25!$B:$M,12,0),"nao")</f>
        <v>3</v>
      </c>
      <c r="L159">
        <f t="shared" si="5"/>
        <v>3</v>
      </c>
      <c r="M159">
        <f>VLOOKUP(A159,[3]CONTAGEM_DIARIA_JUL25!$B:$M,12,0)</f>
        <v>30</v>
      </c>
    </row>
    <row r="160" spans="1:13" x14ac:dyDescent="0.25">
      <c r="A160" s="2">
        <v>33128</v>
      </c>
      <c r="B160" s="3" t="s">
        <v>151</v>
      </c>
      <c r="C160" s="4">
        <v>758</v>
      </c>
      <c r="F160" s="4">
        <v>850</v>
      </c>
      <c r="G160">
        <v>758</v>
      </c>
      <c r="H160" s="11">
        <v>92</v>
      </c>
      <c r="I160" t="str">
        <f>IFERROR(VLOOKUP(A160,[1]CONTAGEM_DIARIA_JUL25!$B:$M,12,0),"NA")</f>
        <v>NA</v>
      </c>
      <c r="J160">
        <f t="shared" si="4"/>
        <v>758</v>
      </c>
      <c r="K160" t="str">
        <f>IFERROR(VLOOKUP(A160,[2]CONTAGEM_DIARIA_JUL25!$B:$M,12,0),"nao")</f>
        <v>nao</v>
      </c>
      <c r="L160">
        <f t="shared" si="5"/>
        <v>758</v>
      </c>
      <c r="M160" t="e">
        <f>VLOOKUP(A160,[3]CONTAGEM_DIARIA_JUL25!$B:$M,12,0)</f>
        <v>#N/A</v>
      </c>
    </row>
    <row r="161" spans="1:13" x14ac:dyDescent="0.25">
      <c r="A161" s="2">
        <v>22156</v>
      </c>
      <c r="B161" s="3" t="s">
        <v>152</v>
      </c>
      <c r="C161" s="4">
        <v>245</v>
      </c>
      <c r="F161" s="4">
        <v>264</v>
      </c>
      <c r="G161">
        <v>245</v>
      </c>
      <c r="H161" s="11">
        <v>19</v>
      </c>
      <c r="I161" t="str">
        <f>IFERROR(VLOOKUP(A161,[1]CONTAGEM_DIARIA_JUL25!$B:$M,12,0),"NA")</f>
        <v>NA</v>
      </c>
      <c r="J161">
        <f t="shared" si="4"/>
        <v>245</v>
      </c>
      <c r="K161" t="str">
        <f>IFERROR(VLOOKUP(A161,[2]CONTAGEM_DIARIA_JUL25!$B:$M,12,0),"nao")</f>
        <v>nao</v>
      </c>
      <c r="L161">
        <f t="shared" si="5"/>
        <v>245</v>
      </c>
      <c r="M161" t="e">
        <f>VLOOKUP(A161,[3]CONTAGEM_DIARIA_JUL25!$B:$M,12,0)</f>
        <v>#N/A</v>
      </c>
    </row>
    <row r="162" spans="1:13" x14ac:dyDescent="0.25">
      <c r="A162" s="2">
        <v>31193</v>
      </c>
      <c r="B162" s="3" t="s">
        <v>153</v>
      </c>
      <c r="C162" s="4">
        <v>250</v>
      </c>
      <c r="F162" s="4">
        <v>250</v>
      </c>
      <c r="G162">
        <v>250</v>
      </c>
      <c r="H162" s="11">
        <v>0</v>
      </c>
      <c r="I162" t="str">
        <f>IFERROR(VLOOKUP(A162,[1]CONTAGEM_DIARIA_JUL25!$B:$M,12,0),"NA")</f>
        <v>NA</v>
      </c>
      <c r="J162">
        <f t="shared" si="4"/>
        <v>250</v>
      </c>
      <c r="K162" t="str">
        <f>IFERROR(VLOOKUP(A162,[2]CONTAGEM_DIARIA_JUL25!$B:$M,12,0),"nao")</f>
        <v>nao</v>
      </c>
      <c r="L162">
        <f t="shared" si="5"/>
        <v>250</v>
      </c>
      <c r="M162" t="e">
        <f>VLOOKUP(A162,[3]CONTAGEM_DIARIA_JUL25!$B:$M,12,0)</f>
        <v>#N/A</v>
      </c>
    </row>
    <row r="163" spans="1:13" x14ac:dyDescent="0.25">
      <c r="A163" s="2">
        <v>31439</v>
      </c>
      <c r="B163" s="3" t="s">
        <v>154</v>
      </c>
      <c r="C163" s="4">
        <v>1642</v>
      </c>
      <c r="F163" s="4">
        <v>1600</v>
      </c>
      <c r="G163">
        <v>1642</v>
      </c>
      <c r="H163" s="11">
        <v>-42</v>
      </c>
      <c r="I163" t="str">
        <f>IFERROR(VLOOKUP(A163,[1]CONTAGEM_DIARIA_JUL25!$B:$M,12,0),"NA")</f>
        <v>NA</v>
      </c>
      <c r="J163">
        <f t="shared" si="4"/>
        <v>1642</v>
      </c>
      <c r="K163" t="str">
        <f>IFERROR(VLOOKUP(A163,[2]CONTAGEM_DIARIA_JUL25!$B:$M,12,0),"nao")</f>
        <v>nao</v>
      </c>
      <c r="L163">
        <f t="shared" si="5"/>
        <v>1642</v>
      </c>
      <c r="M163" t="e">
        <f>VLOOKUP(A163,[3]CONTAGEM_DIARIA_JUL25!$B:$M,12,0)</f>
        <v>#N/A</v>
      </c>
    </row>
    <row r="164" spans="1:13" x14ac:dyDescent="0.25">
      <c r="A164" s="2">
        <v>34600</v>
      </c>
      <c r="B164" s="3" t="s">
        <v>155</v>
      </c>
      <c r="C164" s="4">
        <v>930</v>
      </c>
      <c r="F164" s="4">
        <v>25</v>
      </c>
      <c r="G164">
        <v>930</v>
      </c>
      <c r="H164" s="11">
        <v>-905</v>
      </c>
      <c r="I164" t="str">
        <f>IFERROR(VLOOKUP(A164,[1]CONTAGEM_DIARIA_JUL25!$B:$M,12,0),"NA")</f>
        <v>NA</v>
      </c>
      <c r="J164">
        <f t="shared" si="4"/>
        <v>930</v>
      </c>
      <c r="K164" t="str">
        <f>IFERROR(VLOOKUP(A164,[2]CONTAGEM_DIARIA_JUL25!$B:$M,12,0),"nao")</f>
        <v>nao</v>
      </c>
      <c r="L164">
        <f t="shared" si="5"/>
        <v>930</v>
      </c>
      <c r="M164" t="e">
        <f>VLOOKUP(A164,[3]CONTAGEM_DIARIA_JUL25!$B:$M,12,0)</f>
        <v>#N/A</v>
      </c>
    </row>
    <row r="165" spans="1:13" x14ac:dyDescent="0.25">
      <c r="A165" s="2">
        <v>34741</v>
      </c>
      <c r="B165" s="3" t="s">
        <v>156</v>
      </c>
      <c r="C165" s="4">
        <v>0</v>
      </c>
      <c r="F165" s="4">
        <v>0</v>
      </c>
      <c r="G165">
        <v>0</v>
      </c>
      <c r="H165" s="11">
        <v>0</v>
      </c>
      <c r="I165" t="str">
        <f>IFERROR(VLOOKUP(A165,[1]CONTAGEM_DIARIA_JUL25!$B:$M,12,0),"NA")</f>
        <v>NA</v>
      </c>
      <c r="J165">
        <f t="shared" si="4"/>
        <v>0</v>
      </c>
      <c r="K165" t="str">
        <f>IFERROR(VLOOKUP(A165,[2]CONTAGEM_DIARIA_JUL25!$B:$M,12,0),"nao")</f>
        <v>nao</v>
      </c>
      <c r="L165">
        <f t="shared" si="5"/>
        <v>0</v>
      </c>
      <c r="M165" t="e">
        <f>VLOOKUP(A165,[3]CONTAGEM_DIARIA_JUL25!$B:$M,12,0)</f>
        <v>#N/A</v>
      </c>
    </row>
    <row r="166" spans="1:13" x14ac:dyDescent="0.25">
      <c r="A166" s="2">
        <v>36206</v>
      </c>
      <c r="B166" s="3" t="s">
        <v>157</v>
      </c>
      <c r="C166" s="4">
        <v>16</v>
      </c>
      <c r="F166" s="4">
        <v>11</v>
      </c>
      <c r="G166">
        <v>0</v>
      </c>
      <c r="H166" s="11">
        <v>11</v>
      </c>
      <c r="I166">
        <f>IFERROR(VLOOKUP(A166,[1]CONTAGEM_DIARIA_JUL25!$B:$M,12,0),"NA")</f>
        <v>39</v>
      </c>
      <c r="J166">
        <f t="shared" si="4"/>
        <v>39</v>
      </c>
      <c r="K166">
        <f>IFERROR(VLOOKUP(A166,[2]CONTAGEM_DIARIA_JUL25!$B:$M,12,0),"nao")</f>
        <v>25</v>
      </c>
      <c r="L166">
        <f t="shared" si="5"/>
        <v>25</v>
      </c>
      <c r="M166">
        <f>VLOOKUP(A166,[3]CONTAGEM_DIARIA_JUL25!$B:$M,12,0)</f>
        <v>16</v>
      </c>
    </row>
    <row r="167" spans="1:13" x14ac:dyDescent="0.25">
      <c r="A167" s="7">
        <v>28451</v>
      </c>
      <c r="B167" s="8" t="s">
        <v>163</v>
      </c>
      <c r="C167" s="4">
        <v>16</v>
      </c>
      <c r="F167" s="4">
        <v>0</v>
      </c>
      <c r="G167">
        <v>0</v>
      </c>
      <c r="H167" s="11">
        <v>0</v>
      </c>
      <c r="I167" t="str">
        <f>IFERROR(VLOOKUP(A167,[1]CONTAGEM_DIARIA_JUL25!$B:$M,12,0),"NA")</f>
        <v>NA</v>
      </c>
      <c r="J167">
        <f t="shared" si="4"/>
        <v>16</v>
      </c>
      <c r="K167" t="str">
        <f>IFERROR(VLOOKUP(A167,[2]CONTAGEM_DIARIA_JUL25!$B:$M,12,0),"nao")</f>
        <v>nao</v>
      </c>
      <c r="L167">
        <v>0</v>
      </c>
      <c r="M167" t="e">
        <f>VLOOKUP(A167,[3]CONTAGEM_DIARIA_JUL25!$B:$M,12,0)</f>
        <v>#N/A</v>
      </c>
    </row>
    <row r="168" spans="1:13" x14ac:dyDescent="0.25">
      <c r="A168" s="2">
        <v>19909</v>
      </c>
      <c r="B168" s="3" t="s">
        <v>158</v>
      </c>
      <c r="C168" s="4">
        <v>2.2000000000000002</v>
      </c>
      <c r="F168" s="4">
        <v>3</v>
      </c>
      <c r="G168">
        <v>2.2000000000000002</v>
      </c>
      <c r="H168" s="11">
        <v>0.79999999999999982</v>
      </c>
      <c r="I168" t="str">
        <f>IFERROR(VLOOKUP(A168,[1]CONTAGEM_DIARIA_JUL25!$B:$M,12,0),"NA")</f>
        <v>NA</v>
      </c>
      <c r="J168">
        <f t="shared" si="4"/>
        <v>2.2000000000000002</v>
      </c>
      <c r="K168" t="str">
        <f>IFERROR(VLOOKUP(A168,[2]CONTAGEM_DIARIA_JUL25!$B:$M,12,0),"nao")</f>
        <v>nao</v>
      </c>
      <c r="L168">
        <f t="shared" si="5"/>
        <v>2.2000000000000002</v>
      </c>
      <c r="M168" t="e">
        <f>VLOOKUP(A168,[3]CONTAGEM_DIARIA_JUL25!$B:$M,12,0)</f>
        <v>#N/A</v>
      </c>
    </row>
    <row r="169" spans="1:13" x14ac:dyDescent="0.25">
      <c r="A169" s="2">
        <v>35219</v>
      </c>
      <c r="B169" s="3" t="s">
        <v>159</v>
      </c>
      <c r="C169" s="4">
        <v>0</v>
      </c>
      <c r="F169" s="4">
        <v>0</v>
      </c>
      <c r="G169">
        <v>0</v>
      </c>
      <c r="H169" s="11">
        <v>0</v>
      </c>
      <c r="I169" t="str">
        <f>IFERROR(VLOOKUP(A169,[1]CONTAGEM_DIARIA_JUL25!$B:$M,12,0),"NA")</f>
        <v>NA</v>
      </c>
      <c r="J169">
        <f t="shared" si="4"/>
        <v>0</v>
      </c>
      <c r="K169" t="str">
        <f>IFERROR(VLOOKUP(A169,[2]CONTAGEM_DIARIA_JUL25!$B:$M,12,0),"nao")</f>
        <v>nao</v>
      </c>
      <c r="L169">
        <f t="shared" si="5"/>
        <v>0</v>
      </c>
      <c r="M169" t="e">
        <f>VLOOKUP(A169,[3]CONTAGEM_DIARIA_JUL25!$B:$M,12,0)</f>
        <v>#N/A</v>
      </c>
    </row>
    <row r="170" spans="1:13" x14ac:dyDescent="0.25">
      <c r="A170" s="7" t="s">
        <v>185</v>
      </c>
      <c r="B170" s="8" t="s">
        <v>174</v>
      </c>
      <c r="C170" s="4">
        <v>0</v>
      </c>
    </row>
    <row r="171" spans="1:13" x14ac:dyDescent="0.25">
      <c r="A171" s="7" t="s">
        <v>173</v>
      </c>
      <c r="B171" s="8" t="s">
        <v>176</v>
      </c>
      <c r="C171" s="4">
        <v>0</v>
      </c>
    </row>
    <row r="172" spans="1:13" x14ac:dyDescent="0.25">
      <c r="A172" s="7" t="s">
        <v>193</v>
      </c>
      <c r="B172" s="8" t="s">
        <v>178</v>
      </c>
      <c r="C172" s="4">
        <v>0</v>
      </c>
    </row>
    <row r="173" spans="1:13" x14ac:dyDescent="0.25">
      <c r="A173" s="7" t="s">
        <v>181</v>
      </c>
      <c r="B173" s="8" t="s">
        <v>180</v>
      </c>
      <c r="C173" s="4">
        <v>0</v>
      </c>
    </row>
    <row r="174" spans="1:13" x14ac:dyDescent="0.25">
      <c r="A174" s="7" t="s">
        <v>195</v>
      </c>
      <c r="B174" s="8" t="s">
        <v>182</v>
      </c>
      <c r="C174" s="4">
        <v>0</v>
      </c>
    </row>
    <row r="175" spans="1:13" x14ac:dyDescent="0.25">
      <c r="A175" s="7" t="s">
        <v>183</v>
      </c>
      <c r="B175" s="8" t="s">
        <v>184</v>
      </c>
      <c r="C175" s="4">
        <v>0</v>
      </c>
    </row>
    <row r="176" spans="1:13" x14ac:dyDescent="0.25">
      <c r="A176" s="7"/>
      <c r="B176" s="8" t="s">
        <v>186</v>
      </c>
      <c r="C176" s="4">
        <v>0</v>
      </c>
    </row>
    <row r="177" spans="1:3" x14ac:dyDescent="0.25">
      <c r="A177" s="7" t="s">
        <v>187</v>
      </c>
      <c r="B177" s="8" t="s">
        <v>188</v>
      </c>
      <c r="C177" s="4">
        <v>0</v>
      </c>
    </row>
    <row r="178" spans="1:3" x14ac:dyDescent="0.25">
      <c r="A178" s="7" t="s">
        <v>175</v>
      </c>
      <c r="B178" s="8" t="s">
        <v>190</v>
      </c>
      <c r="C178" s="4">
        <v>0</v>
      </c>
    </row>
    <row r="179" spans="1:3" x14ac:dyDescent="0.25">
      <c r="A179" s="7" t="s">
        <v>189</v>
      </c>
      <c r="B179" s="8" t="s">
        <v>192</v>
      </c>
      <c r="C179" s="4">
        <v>0</v>
      </c>
    </row>
    <row r="180" spans="1:3" x14ac:dyDescent="0.25">
      <c r="A180" s="7" t="s">
        <v>177</v>
      </c>
      <c r="B180" s="8" t="s">
        <v>194</v>
      </c>
      <c r="C180" s="4">
        <v>0</v>
      </c>
    </row>
    <row r="181" spans="1:3" x14ac:dyDescent="0.25">
      <c r="A181" s="7"/>
      <c r="B181" s="8" t="s">
        <v>196</v>
      </c>
      <c r="C181" s="4">
        <v>0</v>
      </c>
    </row>
    <row r="182" spans="1:3" x14ac:dyDescent="0.25">
      <c r="A182" s="7" t="s">
        <v>191</v>
      </c>
      <c r="B182" s="8" t="s">
        <v>197</v>
      </c>
      <c r="C182" s="4">
        <v>0</v>
      </c>
    </row>
    <row r="183" spans="1:3" x14ac:dyDescent="0.25">
      <c r="A183" s="7" t="s">
        <v>179</v>
      </c>
      <c r="B183" s="8" t="s">
        <v>198</v>
      </c>
      <c r="C183" s="4">
        <v>0</v>
      </c>
    </row>
    <row r="184" spans="1:3" x14ac:dyDescent="0.25">
      <c r="A184" s="2">
        <v>35219</v>
      </c>
      <c r="B184" s="3" t="s">
        <v>159</v>
      </c>
      <c r="C184" s="4">
        <v>0</v>
      </c>
    </row>
    <row r="185" spans="1:3" x14ac:dyDescent="0.25">
      <c r="A185" s="2">
        <v>41475</v>
      </c>
      <c r="B185" s="3" t="s">
        <v>199</v>
      </c>
      <c r="C185" s="4">
        <v>0</v>
      </c>
    </row>
    <row r="186" spans="1:3" x14ac:dyDescent="0.25">
      <c r="A186" s="2">
        <v>42049</v>
      </c>
      <c r="B186" s="3" t="s">
        <v>200</v>
      </c>
      <c r="C186" s="4">
        <v>0</v>
      </c>
    </row>
    <row r="187" spans="1:3" x14ac:dyDescent="0.25">
      <c r="A187" s="2">
        <v>39059</v>
      </c>
      <c r="B187" s="3" t="s">
        <v>201</v>
      </c>
      <c r="C187" s="4">
        <v>0</v>
      </c>
    </row>
    <row r="188" spans="1:3" x14ac:dyDescent="0.25">
      <c r="A188" s="2">
        <v>41476</v>
      </c>
      <c r="B188" s="3" t="s">
        <v>202</v>
      </c>
      <c r="C188" s="4">
        <v>0</v>
      </c>
    </row>
    <row r="189" spans="1:3" x14ac:dyDescent="0.25">
      <c r="A189" s="2">
        <v>37842</v>
      </c>
      <c r="B189" s="3" t="s">
        <v>203</v>
      </c>
      <c r="C189" s="4">
        <v>0</v>
      </c>
    </row>
    <row r="190" spans="1:3" x14ac:dyDescent="0.25">
      <c r="A190" s="2">
        <v>40442</v>
      </c>
      <c r="B190" s="3" t="s">
        <v>204</v>
      </c>
      <c r="C190" s="4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Estoque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Lazaro</dc:creator>
  <cp:lastModifiedBy>Joao Lazaro</cp:lastModifiedBy>
  <dcterms:created xsi:type="dcterms:W3CDTF">2025-06-25T15:20:03Z</dcterms:created>
  <dcterms:modified xsi:type="dcterms:W3CDTF">2026-05-26T05:13:55Z</dcterms:modified>
</cp:coreProperties>
</file>